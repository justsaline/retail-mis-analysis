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6842F805-5BF4-4397-B803-E2FF93D471B8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EJ_transactions" sheetId="1" r:id="rId1"/>
    <sheet name="Cleaned_EJ" sheetId="2" r:id="rId2"/>
    <sheet name="Final_MI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3" l="1"/>
  <c r="B8" i="3"/>
  <c r="B7" i="3"/>
  <c r="B6" i="3"/>
  <c r="B5" i="3"/>
  <c r="B3" i="3"/>
  <c r="B2" i="3"/>
  <c r="B4" i="3" s="1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B10" i="3" l="1"/>
  <c r="B11" i="3"/>
</calcChain>
</file>

<file path=xl/sharedStrings.xml><?xml version="1.0" encoding="utf-8"?>
<sst xmlns="http://schemas.openxmlformats.org/spreadsheetml/2006/main" count="2428" uniqueCount="539">
  <si>
    <t>Date</t>
  </si>
  <si>
    <t>Time</t>
  </si>
  <si>
    <t>POS_No</t>
  </si>
  <si>
    <t>Txn_ID</t>
  </si>
  <si>
    <t>Cashier_ID</t>
  </si>
  <si>
    <t>Order_ID</t>
  </si>
  <si>
    <t>Trip_ID</t>
  </si>
  <si>
    <t>Amount</t>
  </si>
  <si>
    <t>POS01</t>
  </si>
  <si>
    <t>TXN1001</t>
  </si>
  <si>
    <t>C001</t>
  </si>
  <si>
    <t>POS02</t>
  </si>
  <si>
    <t>TXN1002</t>
  </si>
  <si>
    <t>C002</t>
  </si>
  <si>
    <t>POS03</t>
  </si>
  <si>
    <t>TXN1003</t>
  </si>
  <si>
    <t>C003</t>
  </si>
  <si>
    <t>TXN1004</t>
  </si>
  <si>
    <t>ORD5001</t>
  </si>
  <si>
    <t>TRIP9001</t>
  </si>
  <si>
    <t>TXN1005</t>
  </si>
  <si>
    <t>TXN1006</t>
  </si>
  <si>
    <t>TXN1007</t>
  </si>
  <si>
    <t>TXN1008</t>
  </si>
  <si>
    <t>ORD5002</t>
  </si>
  <si>
    <t>TRIP9002</t>
  </si>
  <si>
    <t>TXN1009</t>
  </si>
  <si>
    <t>TXN1010</t>
  </si>
  <si>
    <t>TXN1011</t>
  </si>
  <si>
    <t>TXN1012</t>
  </si>
  <si>
    <t>ORD5003</t>
  </si>
  <si>
    <t>TRIP9003</t>
  </si>
  <si>
    <t>TXN1013</t>
  </si>
  <si>
    <t>TXN1014</t>
  </si>
  <si>
    <t>TXN1015</t>
  </si>
  <si>
    <t>TXN1016</t>
  </si>
  <si>
    <t>ORD5004</t>
  </si>
  <si>
    <t>TRIP9004</t>
  </si>
  <si>
    <t>TXN1017</t>
  </si>
  <si>
    <t>TXN1018</t>
  </si>
  <si>
    <t>TXN1019</t>
  </si>
  <si>
    <t>TXN1020</t>
  </si>
  <si>
    <t>ORD5005</t>
  </si>
  <si>
    <t>TRIP9005</t>
  </si>
  <si>
    <t>TXN1021</t>
  </si>
  <si>
    <t>TXN1022</t>
  </si>
  <si>
    <t>TXN1023</t>
  </si>
  <si>
    <t>TXN1024</t>
  </si>
  <si>
    <t>TXN1025</t>
  </si>
  <si>
    <t>ORD5006</t>
  </si>
  <si>
    <t>TRIP9006</t>
  </si>
  <si>
    <t>TXN1026</t>
  </si>
  <si>
    <t>TXN1027</t>
  </si>
  <si>
    <t>TXN1028</t>
  </si>
  <si>
    <t>TXN1029</t>
  </si>
  <si>
    <t>ORD5007</t>
  </si>
  <si>
    <t>TRIP9007</t>
  </si>
  <si>
    <t>TXN1030</t>
  </si>
  <si>
    <t>TXN1031</t>
  </si>
  <si>
    <t>TXN1032</t>
  </si>
  <si>
    <t>TXN1033</t>
  </si>
  <si>
    <t>ORD5008</t>
  </si>
  <si>
    <t>TRIP9008</t>
  </si>
  <si>
    <t>TXN1034</t>
  </si>
  <si>
    <t>TXN1035</t>
  </si>
  <si>
    <t>TXN1036</t>
  </si>
  <si>
    <t>TXN1037</t>
  </si>
  <si>
    <t>ORD5009</t>
  </si>
  <si>
    <t>TRIP9009</t>
  </si>
  <si>
    <t>TXN1038</t>
  </si>
  <si>
    <t>TXN1039</t>
  </si>
  <si>
    <t>TXN1040</t>
  </si>
  <si>
    <t>TXN1041</t>
  </si>
  <si>
    <t>ORD5010</t>
  </si>
  <si>
    <t>TRIP9010</t>
  </si>
  <si>
    <t>TXN1042</t>
  </si>
  <si>
    <t>TXN1043</t>
  </si>
  <si>
    <t>TXN1044</t>
  </si>
  <si>
    <t>TXN1045</t>
  </si>
  <si>
    <t>ORD5011</t>
  </si>
  <si>
    <t>TRIP9011</t>
  </si>
  <si>
    <t>TXN1046</t>
  </si>
  <si>
    <t>TXN1047</t>
  </si>
  <si>
    <t>TXN1048</t>
  </si>
  <si>
    <t>TXN1049</t>
  </si>
  <si>
    <t>ORD5012</t>
  </si>
  <si>
    <t>TRIP9012</t>
  </si>
  <si>
    <t>TXN1050</t>
  </si>
  <si>
    <t>TXN1051</t>
  </si>
  <si>
    <t>TXN1059</t>
  </si>
  <si>
    <t>TXN1060</t>
  </si>
  <si>
    <t>TXN1061</t>
  </si>
  <si>
    <t>ORD5015</t>
  </si>
  <si>
    <t>TRIP9015</t>
  </si>
  <si>
    <t>TXN1062</t>
  </si>
  <si>
    <t>TXN1063</t>
  </si>
  <si>
    <t>TXN1064</t>
  </si>
  <si>
    <t>TXN1065</t>
  </si>
  <si>
    <t>ORD5016</t>
  </si>
  <si>
    <t>TRIP9016</t>
  </si>
  <si>
    <t>TXN1066</t>
  </si>
  <si>
    <t>TXN1067</t>
  </si>
  <si>
    <t>TXN1068</t>
  </si>
  <si>
    <t>TXN1069</t>
  </si>
  <si>
    <t>TXN1070</t>
  </si>
  <si>
    <t>TXN1071</t>
  </si>
  <si>
    <t>ORD5017</t>
  </si>
  <si>
    <t>TRIP9017</t>
  </si>
  <si>
    <t>TXN1072</t>
  </si>
  <si>
    <t>TXN1073</t>
  </si>
  <si>
    <t>TXN1074</t>
  </si>
  <si>
    <t>TXN1075</t>
  </si>
  <si>
    <t>ORD5018</t>
  </si>
  <si>
    <t>TRIP9018</t>
  </si>
  <si>
    <t>TXN1076</t>
  </si>
  <si>
    <t>TXN1077</t>
  </si>
  <si>
    <t>TXN1078</t>
  </si>
  <si>
    <t>TXN1079</t>
  </si>
  <si>
    <t>TXN1080</t>
  </si>
  <si>
    <t>ORD5019</t>
  </si>
  <si>
    <t>TRIP9019</t>
  </si>
  <si>
    <t>TXN1081</t>
  </si>
  <si>
    <t>TXN1082</t>
  </si>
  <si>
    <t>TXN1083</t>
  </si>
  <si>
    <t>TXN1084</t>
  </si>
  <si>
    <t>ORD5020</t>
  </si>
  <si>
    <t>TRIP9020</t>
  </si>
  <si>
    <t>TXN1085</t>
  </si>
  <si>
    <t>TXN1086</t>
  </si>
  <si>
    <t>TXN1087</t>
  </si>
  <si>
    <t>TXN1088</t>
  </si>
  <si>
    <t>TXN1089</t>
  </si>
  <si>
    <t>ORD5021</t>
  </si>
  <si>
    <t>TRIP9021</t>
  </si>
  <si>
    <t>TXN1090</t>
  </si>
  <si>
    <t>TXN1091</t>
  </si>
  <si>
    <t>TXN1092</t>
  </si>
  <si>
    <t>TXN1093</t>
  </si>
  <si>
    <t>ORD5022</t>
  </si>
  <si>
    <t>TRIP9022</t>
  </si>
  <si>
    <t>TXN1094</t>
  </si>
  <si>
    <t>TXN1095</t>
  </si>
  <si>
    <t>TXN1096</t>
  </si>
  <si>
    <t>TXN1097</t>
  </si>
  <si>
    <t>TXN1098</t>
  </si>
  <si>
    <t>ORD5023</t>
  </si>
  <si>
    <t>TRIP9023</t>
  </si>
  <si>
    <t>TXN1099</t>
  </si>
  <si>
    <t>TXN1100</t>
  </si>
  <si>
    <t>TXN1101</t>
  </si>
  <si>
    <t>TXN1102</t>
  </si>
  <si>
    <t>ORD5024</t>
  </si>
  <si>
    <t>TRIP9024</t>
  </si>
  <si>
    <t>TXN1103</t>
  </si>
  <si>
    <t>TXN1104</t>
  </si>
  <si>
    <t>TXN1105</t>
  </si>
  <si>
    <t>TXN1106</t>
  </si>
  <si>
    <t>TXN1107</t>
  </si>
  <si>
    <t>ORD5025</t>
  </si>
  <si>
    <t>TRIP9025</t>
  </si>
  <si>
    <t>TXN1108</t>
  </si>
  <si>
    <t>TXN1109</t>
  </si>
  <si>
    <t>TXN1110</t>
  </si>
  <si>
    <t>TXN1111</t>
  </si>
  <si>
    <t>ORD5026</t>
  </si>
  <si>
    <t>TRIP9026</t>
  </si>
  <si>
    <t>TXN1112</t>
  </si>
  <si>
    <t>TXN1113</t>
  </si>
  <si>
    <t>TXN1114</t>
  </si>
  <si>
    <t>TXN1115</t>
  </si>
  <si>
    <t>TXN1116</t>
  </si>
  <si>
    <t>ORD5027</t>
  </si>
  <si>
    <t>TRIP9027</t>
  </si>
  <si>
    <t>TXN1117</t>
  </si>
  <si>
    <t>TXN1118</t>
  </si>
  <si>
    <t>TXN1119</t>
  </si>
  <si>
    <t>TXN1120</t>
  </si>
  <si>
    <t>ORD5028</t>
  </si>
  <si>
    <t>TRIP9028</t>
  </si>
  <si>
    <t>TXN1121</t>
  </si>
  <si>
    <t>TXN1122</t>
  </si>
  <si>
    <t>TXN1123</t>
  </si>
  <si>
    <t>TXN1124</t>
  </si>
  <si>
    <t>ORD5029</t>
  </si>
  <si>
    <t>TRIP9029</t>
  </si>
  <si>
    <t>TXN1125</t>
  </si>
  <si>
    <t>TXN1126</t>
  </si>
  <si>
    <t>TXN1127</t>
  </si>
  <si>
    <t>TXN1128</t>
  </si>
  <si>
    <t>ORD5030</t>
  </si>
  <si>
    <t>TRIP9030</t>
  </si>
  <si>
    <t>TXN1129</t>
  </si>
  <si>
    <t>TXN1130</t>
  </si>
  <si>
    <t>TXN1131</t>
  </si>
  <si>
    <t>TXN1132</t>
  </si>
  <si>
    <t>ORD5031</t>
  </si>
  <si>
    <t>TRIP9031</t>
  </si>
  <si>
    <t>TXN1133</t>
  </si>
  <si>
    <t>TXN1134</t>
  </si>
  <si>
    <t>TXN1135</t>
  </si>
  <si>
    <t>TXN1136</t>
  </si>
  <si>
    <t>ORD5032</t>
  </si>
  <si>
    <t>TRIP9032</t>
  </si>
  <si>
    <t>TXN1137</t>
  </si>
  <si>
    <t>TXN1138</t>
  </si>
  <si>
    <t>TXN1139</t>
  </si>
  <si>
    <t>TXN1140</t>
  </si>
  <si>
    <t>ORD5033</t>
  </si>
  <si>
    <t>TRIP9033</t>
  </si>
  <si>
    <t>TXN1141</t>
  </si>
  <si>
    <t>TXN1142</t>
  </si>
  <si>
    <t>TXN1143</t>
  </si>
  <si>
    <t>TXN1144</t>
  </si>
  <si>
    <t>ORD5034</t>
  </si>
  <si>
    <t>TRIP9034</t>
  </si>
  <si>
    <t>TXN1145</t>
  </si>
  <si>
    <t>TXN1146</t>
  </si>
  <si>
    <t>TXN1147</t>
  </si>
  <si>
    <t>TXN1148</t>
  </si>
  <si>
    <t>TXN1149</t>
  </si>
  <si>
    <t>ORD5035</t>
  </si>
  <si>
    <t>TRIP9035</t>
  </si>
  <si>
    <t>TXN1150</t>
  </si>
  <si>
    <t>TXN1151</t>
  </si>
  <si>
    <t>TXN1152</t>
  </si>
  <si>
    <t>TXN1153</t>
  </si>
  <si>
    <t>ORD5036</t>
  </si>
  <si>
    <t>TRIP9036</t>
  </si>
  <si>
    <t>TXN1154</t>
  </si>
  <si>
    <t>TXN1155</t>
  </si>
  <si>
    <t>TXN1156</t>
  </si>
  <si>
    <t>TXN1157</t>
  </si>
  <si>
    <t>ORD5037</t>
  </si>
  <si>
    <t>TRIP9037</t>
  </si>
  <si>
    <t>TXN1158</t>
  </si>
  <si>
    <t>TXN1159</t>
  </si>
  <si>
    <t>TXN1160</t>
  </si>
  <si>
    <t>TXN1161</t>
  </si>
  <si>
    <t>TXN1162</t>
  </si>
  <si>
    <t>ORD5038</t>
  </si>
  <si>
    <t>TRIP9038</t>
  </si>
  <si>
    <t>TXN1163</t>
  </si>
  <si>
    <t>TXN1164</t>
  </si>
  <si>
    <t>TXN1165</t>
  </si>
  <si>
    <t>TXN1166</t>
  </si>
  <si>
    <t>ORD5039</t>
  </si>
  <si>
    <t>TRIP9039</t>
  </si>
  <si>
    <t>TXN1167</t>
  </si>
  <si>
    <t>TXN1168</t>
  </si>
  <si>
    <t>TXN1169</t>
  </si>
  <si>
    <t>TXN1170</t>
  </si>
  <si>
    <t>ORD5040</t>
  </si>
  <si>
    <t>TRIP9040</t>
  </si>
  <si>
    <t>TXN1171</t>
  </si>
  <si>
    <t>TXN1172</t>
  </si>
  <si>
    <t>TXN1173</t>
  </si>
  <si>
    <t>TXN1174</t>
  </si>
  <si>
    <t>ORD5041</t>
  </si>
  <si>
    <t>TRIP9041</t>
  </si>
  <si>
    <t>TXN1175</t>
  </si>
  <si>
    <t>TXN1176</t>
  </si>
  <si>
    <t>TXN1177</t>
  </si>
  <si>
    <t>TXN1178</t>
  </si>
  <si>
    <t>ORD5042</t>
  </si>
  <si>
    <t>TRIP9042</t>
  </si>
  <si>
    <t>TXN1179</t>
  </si>
  <si>
    <t>TXN1180</t>
  </si>
  <si>
    <t>TXN1181</t>
  </si>
  <si>
    <t>TXN1182</t>
  </si>
  <si>
    <t>ORD5043</t>
  </si>
  <si>
    <t>TRIP9043</t>
  </si>
  <si>
    <t>TXN1183</t>
  </si>
  <si>
    <t>TXN1184</t>
  </si>
  <si>
    <t>TXN1185</t>
  </si>
  <si>
    <t>TXN1186</t>
  </si>
  <si>
    <t>ORD5044</t>
  </si>
  <si>
    <t>TRIP9044</t>
  </si>
  <si>
    <t>TXN1187</t>
  </si>
  <si>
    <t>TXN1188</t>
  </si>
  <si>
    <t>TXN1189</t>
  </si>
  <si>
    <t>TXN1190</t>
  </si>
  <si>
    <t>ORD5045</t>
  </si>
  <si>
    <t>TRIP9045</t>
  </si>
  <si>
    <t>TXN1191</t>
  </si>
  <si>
    <t>TXN1192</t>
  </si>
  <si>
    <t>TXN1193</t>
  </si>
  <si>
    <t>TXN1194</t>
  </si>
  <si>
    <t>ORD5046</t>
  </si>
  <si>
    <t>TRIP9046</t>
  </si>
  <si>
    <t>TXN1195</t>
  </si>
  <si>
    <t>TXN1196</t>
  </si>
  <si>
    <t>TXN1197</t>
  </si>
  <si>
    <t>TXN1198</t>
  </si>
  <si>
    <t>ORD5047</t>
  </si>
  <si>
    <t>TRIP9047</t>
  </si>
  <si>
    <t>TXN1199</t>
  </si>
  <si>
    <t>TXN1200</t>
  </si>
  <si>
    <t>TXN1201</t>
  </si>
  <si>
    <t>TXN1202</t>
  </si>
  <si>
    <t>ORD5048</t>
  </si>
  <si>
    <t>TRIP9048</t>
  </si>
  <si>
    <t>TXN1203</t>
  </si>
  <si>
    <t>TXN1204</t>
  </si>
  <si>
    <t>TXN1205</t>
  </si>
  <si>
    <t>TXN1206</t>
  </si>
  <si>
    <t>TXN1207</t>
  </si>
  <si>
    <t>ORD5049</t>
  </si>
  <si>
    <t>TRIP9049</t>
  </si>
  <si>
    <t>TXN1208</t>
  </si>
  <si>
    <t>TXN1209</t>
  </si>
  <si>
    <t>TXN1210</t>
  </si>
  <si>
    <t>TXN1211</t>
  </si>
  <si>
    <t>ORD5050</t>
  </si>
  <si>
    <t>TRIP9050</t>
  </si>
  <si>
    <t>TXN1212</t>
  </si>
  <si>
    <t>TXN1213</t>
  </si>
  <si>
    <t>TXN1214</t>
  </si>
  <si>
    <t>TXN1215</t>
  </si>
  <si>
    <t>ORD5051</t>
  </si>
  <si>
    <t>TRIP9051</t>
  </si>
  <si>
    <t>TXN1216</t>
  </si>
  <si>
    <t>TXN1217</t>
  </si>
  <si>
    <t>TXN1218</t>
  </si>
  <si>
    <t>TXN1219</t>
  </si>
  <si>
    <t>ORD5052</t>
  </si>
  <si>
    <t>TRIP9052</t>
  </si>
  <si>
    <t>TXN1220</t>
  </si>
  <si>
    <t>TXN1221</t>
  </si>
  <si>
    <t>TXN1222</t>
  </si>
  <si>
    <t>TXN1223</t>
  </si>
  <si>
    <t>ORD5053</t>
  </si>
  <si>
    <t>TRIP9053</t>
  </si>
  <si>
    <t>TXN1224</t>
  </si>
  <si>
    <t>TXN1225</t>
  </si>
  <si>
    <t>TXN1226</t>
  </si>
  <si>
    <t>TXN1227</t>
  </si>
  <si>
    <t>ORD5054</t>
  </si>
  <si>
    <t>TRIP9054</t>
  </si>
  <si>
    <t>TXN1228</t>
  </si>
  <si>
    <t>TXN1229</t>
  </si>
  <si>
    <t>TXN1230</t>
  </si>
  <si>
    <t>TXN1231</t>
  </si>
  <si>
    <t>ORD5055</t>
  </si>
  <si>
    <t>TRIP9055</t>
  </si>
  <si>
    <t>TXN1232</t>
  </si>
  <si>
    <t>TXN1233</t>
  </si>
  <si>
    <t>TXN1234</t>
  </si>
  <si>
    <t>TXN1235</t>
  </si>
  <si>
    <t>ORD5056</t>
  </si>
  <si>
    <t>TRIP9056</t>
  </si>
  <si>
    <t>TXN1236</t>
  </si>
  <si>
    <t>TXN1237</t>
  </si>
  <si>
    <t>TXN1238</t>
  </si>
  <si>
    <t>TXN1239</t>
  </si>
  <si>
    <t>ORD5057</t>
  </si>
  <si>
    <t>TRIP9057</t>
  </si>
  <si>
    <t>TXN1240</t>
  </si>
  <si>
    <t>TXN1241</t>
  </si>
  <si>
    <t>TXN1242</t>
  </si>
  <si>
    <t>TXN1243</t>
  </si>
  <si>
    <t>ORD5058</t>
  </si>
  <si>
    <t>TRIP9058</t>
  </si>
  <si>
    <t>TXN1244</t>
  </si>
  <si>
    <t>TXN1245</t>
  </si>
  <si>
    <t>TXN1246</t>
  </si>
  <si>
    <t>TXN1247</t>
  </si>
  <si>
    <t>TXN1248</t>
  </si>
  <si>
    <t>ORD5059</t>
  </si>
  <si>
    <t>TRIP9059</t>
  </si>
  <si>
    <t>TXN1249</t>
  </si>
  <si>
    <t>TXN1250</t>
  </si>
  <si>
    <t>TXN1251</t>
  </si>
  <si>
    <t>TXN1252</t>
  </si>
  <si>
    <t>ORD5060</t>
  </si>
  <si>
    <t>TRIP9060</t>
  </si>
  <si>
    <t>TXN1253</t>
  </si>
  <si>
    <t>TXN1254</t>
  </si>
  <si>
    <t>TXN1255</t>
  </si>
  <si>
    <t>TXN1256</t>
  </si>
  <si>
    <t>TXN1257</t>
  </si>
  <si>
    <t>ORD5061</t>
  </si>
  <si>
    <t>TRIP9061</t>
  </si>
  <si>
    <t>TXN1258</t>
  </si>
  <si>
    <t>TXN1259</t>
  </si>
  <si>
    <t>TXN1260</t>
  </si>
  <si>
    <t>TXN1261</t>
  </si>
  <si>
    <t>ORD5062</t>
  </si>
  <si>
    <t>TRIP9062</t>
  </si>
  <si>
    <t>TXN1262</t>
  </si>
  <si>
    <t>TXN1263</t>
  </si>
  <si>
    <t>TXN1264</t>
  </si>
  <si>
    <t>TXN1265</t>
  </si>
  <si>
    <t>ORD5063</t>
  </si>
  <si>
    <t>TRIP9063</t>
  </si>
  <si>
    <t>TXN1266</t>
  </si>
  <si>
    <t>TXN1267</t>
  </si>
  <si>
    <t>TXN1268</t>
  </si>
  <si>
    <t>TXN1269</t>
  </si>
  <si>
    <t>TXN1270</t>
  </si>
  <si>
    <t>ORD5064</t>
  </si>
  <si>
    <t>TRIP9064</t>
  </si>
  <si>
    <t>TXN1271</t>
  </si>
  <si>
    <t>TXN1272</t>
  </si>
  <si>
    <t>TXN1273</t>
  </si>
  <si>
    <t>TXN1274</t>
  </si>
  <si>
    <t>ORD5065</t>
  </si>
  <si>
    <t>TRIP9065</t>
  </si>
  <si>
    <t>TXN1275</t>
  </si>
  <si>
    <t>TXN1276</t>
  </si>
  <si>
    <t>TXN1277</t>
  </si>
  <si>
    <t>TXN1278</t>
  </si>
  <si>
    <t>ORD5066</t>
  </si>
  <si>
    <t>TRIP9066</t>
  </si>
  <si>
    <t>TXN1279</t>
  </si>
  <si>
    <t>TXN1280</t>
  </si>
  <si>
    <t>TXN1281</t>
  </si>
  <si>
    <t>TXN1282</t>
  </si>
  <si>
    <t>ORD5067</t>
  </si>
  <si>
    <t>TRIP9067</t>
  </si>
  <si>
    <t>TXN1283</t>
  </si>
  <si>
    <t>TXN1284</t>
  </si>
  <si>
    <t>TXN1285</t>
  </si>
  <si>
    <t>TXN1286</t>
  </si>
  <si>
    <t>ORD5068</t>
  </si>
  <si>
    <t>TRIP9068</t>
  </si>
  <si>
    <t>TXN1287</t>
  </si>
  <si>
    <t>TXN1288</t>
  </si>
  <si>
    <t>TXN1289</t>
  </si>
  <si>
    <t>TXN1290</t>
  </si>
  <si>
    <t>ORD5069</t>
  </si>
  <si>
    <t>TRIP9069</t>
  </si>
  <si>
    <t>TXN1291</t>
  </si>
  <si>
    <t>TXN1292</t>
  </si>
  <si>
    <t>TXN1293</t>
  </si>
  <si>
    <t>TXN1294</t>
  </si>
  <si>
    <t>ORD5070</t>
  </si>
  <si>
    <t>TRIP9070</t>
  </si>
  <si>
    <t>TXN1295</t>
  </si>
  <si>
    <t>TXN1296</t>
  </si>
  <si>
    <t>TXN1297</t>
  </si>
  <si>
    <t>TXN1298</t>
  </si>
  <si>
    <t>ORD5071</t>
  </si>
  <si>
    <t>TRIP9071</t>
  </si>
  <si>
    <t>TXN1299</t>
  </si>
  <si>
    <t>TXN1300</t>
  </si>
  <si>
    <t>TXN1301</t>
  </si>
  <si>
    <t>TXN1302</t>
  </si>
  <si>
    <t>ORD5072</t>
  </si>
  <si>
    <t>TRIP9072</t>
  </si>
  <si>
    <t>TXN1303</t>
  </si>
  <si>
    <t>TXN1304</t>
  </si>
  <si>
    <t>TXN1305</t>
  </si>
  <si>
    <t>TXN1306</t>
  </si>
  <si>
    <t>TXN1307</t>
  </si>
  <si>
    <t>TXN1308</t>
  </si>
  <si>
    <t>ORD5073</t>
  </si>
  <si>
    <t>TRIP9073</t>
  </si>
  <si>
    <t>TXN1309</t>
  </si>
  <si>
    <t>TXN1310</t>
  </si>
  <si>
    <t>TXN1311</t>
  </si>
  <si>
    <t>TXN1312</t>
  </si>
  <si>
    <t>ORD5074</t>
  </si>
  <si>
    <t>TRIP9074</t>
  </si>
  <si>
    <t>TXN1313</t>
  </si>
  <si>
    <t>TXN1314</t>
  </si>
  <si>
    <t>TXN1315</t>
  </si>
  <si>
    <t>TXN1316</t>
  </si>
  <si>
    <t>TXN1317</t>
  </si>
  <si>
    <t>ORD5075</t>
  </si>
  <si>
    <t>TRIP9075</t>
  </si>
  <si>
    <t>TXN1318</t>
  </si>
  <si>
    <t>TXN1319</t>
  </si>
  <si>
    <t>TXN1320</t>
  </si>
  <si>
    <t>TXN1321</t>
  </si>
  <si>
    <t>ORD5076</t>
  </si>
  <si>
    <t>TRIP9076</t>
  </si>
  <si>
    <t>TXN1322</t>
  </si>
  <si>
    <t>TXN1323</t>
  </si>
  <si>
    <t>TXN1324</t>
  </si>
  <si>
    <t>TXN1325</t>
  </si>
  <si>
    <t>ORD5077</t>
  </si>
  <si>
    <t>TRIP9077</t>
  </si>
  <si>
    <t>TXN1326</t>
  </si>
  <si>
    <t>TXN1327</t>
  </si>
  <si>
    <t>TXN1328</t>
  </si>
  <si>
    <t>TXN1329</t>
  </si>
  <si>
    <t>TXN1330</t>
  </si>
  <si>
    <t>ORD5078</t>
  </si>
  <si>
    <t>TRIP9078</t>
  </si>
  <si>
    <t>TXN1331</t>
  </si>
  <si>
    <t>TXN1332</t>
  </si>
  <si>
    <t>TXN1333</t>
  </si>
  <si>
    <t>TXN1334</t>
  </si>
  <si>
    <t>ORD5079</t>
  </si>
  <si>
    <t>TRIP9079</t>
  </si>
  <si>
    <t>TXN1335</t>
  </si>
  <si>
    <t>TXN1336</t>
  </si>
  <si>
    <t>TXN1337</t>
  </si>
  <si>
    <t>TXN1338</t>
  </si>
  <si>
    <t>ORD5080</t>
  </si>
  <si>
    <t>TRIP9080</t>
  </si>
  <si>
    <t>TXN1339</t>
  </si>
  <si>
    <t>TXN1340</t>
  </si>
  <si>
    <t>TXN1341</t>
  </si>
  <si>
    <t>TXN1342</t>
  </si>
  <si>
    <t>ORD5081</t>
  </si>
  <si>
    <t>TRIP9081</t>
  </si>
  <si>
    <t>TXN1343</t>
  </si>
  <si>
    <t>TXN1344</t>
  </si>
  <si>
    <t>TXN1345</t>
  </si>
  <si>
    <t>TXN1346</t>
  </si>
  <si>
    <t>ORD5082</t>
  </si>
  <si>
    <t>TRIP9082</t>
  </si>
  <si>
    <t>TXN1347</t>
  </si>
  <si>
    <t>TXN1348</t>
  </si>
  <si>
    <t>TXN1349</t>
  </si>
  <si>
    <t>TXN1350</t>
  </si>
  <si>
    <t>ORD5083</t>
  </si>
  <si>
    <t>TRIP9083</t>
  </si>
  <si>
    <t>TXN1351</t>
  </si>
  <si>
    <t>TXN1352</t>
  </si>
  <si>
    <t>Sales_Channel</t>
  </si>
  <si>
    <t>TXN_Type</t>
  </si>
  <si>
    <t>Abs_amount</t>
  </si>
  <si>
    <t>Daily Store Performance Summary</t>
  </si>
  <si>
    <t>Total Sales</t>
  </si>
  <si>
    <t>Total Returns</t>
  </si>
  <si>
    <t>Net Sales</t>
  </si>
  <si>
    <t>Offline Sales</t>
  </si>
  <si>
    <t>Online Sales</t>
  </si>
  <si>
    <t>Total Transactions</t>
  </si>
  <si>
    <t>Online Order Count</t>
  </si>
  <si>
    <t>Return Transaction Count</t>
  </si>
  <si>
    <t>Return Rate</t>
  </si>
  <si>
    <t>High Return Alert</t>
  </si>
  <si>
    <t>Data is simulated for learning purpose</t>
  </si>
  <si>
    <t>D2: C001</t>
  </si>
  <si>
    <t>D3: C002</t>
  </si>
  <si>
    <t>D4: C003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</si>
</sst>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9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21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wrapText="1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10" fontId="0" fillId="0" borderId="1" xfId="0" applyNumberFormat="1" applyBorder="1" applyAlignment="1">
      <alignment horizontal="right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6" formatCode="hh:mm:ss"/>
      <alignment horizontal="center"/>
    </dxf>
    <dxf>
      <numFmt numFmtId="19" formatCode="dd/mm/yyyy"/>
      <alignment horizontal="center" vertical="bottom" textRotation="0" wrapText="1" indent="0" justifyLastLine="0" shrinkToFit="0" readingOrder="0"/>
    </dxf>
    <dxf>
      <alignment horizontal="center"/>
    </dxf>
    <dxf>
      <alignment horizontal="center"/>
    </dxf>
    <dxf>
      <numFmt numFmtId="26" formatCode="hh:mm:ss"/>
    </dxf>
    <dxf>
      <numFmt numFmtId="19" formatCode="dd/mm/yyyy"/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E9348B-C390-41DC-898E-7918C7D78B1B}" name="Table1" displayName="Table1" ref="A1:H346" totalsRowShown="0">
  <autoFilter ref="A1:H346" xr:uid="{A7E9348B-C390-41DC-898E-7918C7D78B1B}"/>
  <tableColumns count="8">
    <tableColumn id="1" xr3:uid="{2AE520F4-1A34-4AC0-B1EB-5C1772045F33}" name="Date" dataDxfId="18"/>
    <tableColumn id="2" xr3:uid="{3F914446-E430-4B49-B4C1-21A97D9B9BFF}" name="Time" dataDxfId="17"/>
    <tableColumn id="3" xr3:uid="{3336DC4A-6B9F-4F87-9D3A-3450932D5E3C}" name="POS_No"/>
    <tableColumn id="4" xr3:uid="{74C1A17A-0DA2-4F68-824D-0035677384B9}" name="Txn_ID"/>
    <tableColumn id="5" xr3:uid="{1246FB1C-A0F3-4645-9EAE-CC789E134AE6}" name="Cashier_ID"/>
    <tableColumn id="6" xr3:uid="{EFFB0EC9-6C35-43EF-A9D8-77CD7437C844}" name="Order_ID"/>
    <tableColumn id="7" xr3:uid="{05EC75A4-7D29-4840-971F-D41AF2DEB000}" name="Trip_ID"/>
    <tableColumn id="8" xr3:uid="{548308C1-BDF3-4C41-82AF-9275F70D7643}" name="Am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28D823E-4209-4E72-9381-9F9023530C1D}" name="Table3" displayName="Table3" ref="A1:K346" totalsRowShown="0" headerRowDxfId="16" dataDxfId="15">
  <autoFilter ref="A1:K346" xr:uid="{928D823E-4209-4E72-9381-9F9023530C1D}"/>
  <tableColumns count="11">
    <tableColumn id="1" xr3:uid="{F6C0086C-D84B-4E7E-A66F-36ECF93FB8DD}" name="Date" dataDxfId="14"/>
    <tableColumn id="2" xr3:uid="{72578C0B-0E1C-4D46-AB48-F920B6391FDF}" name="Time" dataDxfId="13"/>
    <tableColumn id="3" xr3:uid="{7EB8237B-7184-4CC8-95D1-23F01B735493}" name="POS_No" dataDxfId="12"/>
    <tableColumn id="4" xr3:uid="{73BFFDAB-92E5-43C3-BAC4-28D943CD2C47}" name="Txn_ID" dataDxfId="11"/>
    <tableColumn id="5" xr3:uid="{F8B1B339-7CF5-459F-A54B-03B46B18EBE8}" name="Cashier_ID" dataDxfId="10"/>
    <tableColumn id="6" xr3:uid="{146BCFD9-6976-42F6-A0A1-F4B601F76C7C}" name="Order_ID" dataDxfId="9"/>
    <tableColumn id="7" xr3:uid="{72AF59D3-4D87-478C-AF7B-BD1A92AE14C5}" name="Trip_ID" dataDxfId="8"/>
    <tableColumn id="8" xr3:uid="{2FC12702-EFE2-4EED-93DA-D48D6515E88B}" name="Amount" dataDxfId="7"/>
    <tableColumn id="9" xr3:uid="{83FCD0BA-A462-4CB3-B843-9D5F0CC622CA}" name="Sales_Channel" dataDxfId="6">
      <calculatedColumnFormula>IF(F2="","OFFLINE","ONLINE")</calculatedColumnFormula>
    </tableColumn>
    <tableColumn id="10" xr3:uid="{22BDD830-DBE2-45ED-9860-05A537C97BC7}" name="TXN_Type" dataDxfId="5">
      <calculatedColumnFormula>IF(H2 &lt; 0, "Return", "Sale")</calculatedColumnFormula>
    </tableColumn>
    <tableColumn id="11" xr3:uid="{4D0CB25A-6A85-4361-8047-88C26841829B}" name="Abs_amount" dataDxfId="4">
      <calculatedColumnFormula>ABS(H2)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6"/>
  <sheetViews>
    <sheetView workbookViewId="0">
      <selection activeCell="J8" sqref="J8"/>
    </sheetView>
  </sheetViews>
  <sheetFormatPr defaultRowHeight="15"/>
  <cols>
    <col min="1" max="1" width="11.140625" bestFit="1" customWidth="1"/>
    <col min="2" max="2" width="8.5703125" bestFit="1" customWidth="1"/>
    <col min="3" max="3" width="10.28515625" bestFit="1" customWidth="1"/>
    <col min="4" max="4" width="9.140625" bestFit="1" customWidth="1"/>
    <col min="5" max="5" width="12.5703125" bestFit="1" customWidth="1"/>
    <col min="6" max="6" width="11.140625" bestFit="1" customWidth="1"/>
    <col min="7" max="7" width="9.42578125" bestFit="1" customWidth="1"/>
    <col min="8" max="8" width="10.140625" bestFit="1" customWidth="1"/>
  </cols>
  <sheetData>
    <row r="1" spans="1: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2">
        <v>46047</v>
      </c>
      <c r="B2" s="3">
        <v>0.37861111111111112</v>
      </c>
      <c r="C2" t="s">
        <v>8</v>
      </c>
      <c r="D2" t="s">
        <v>9</v>
      </c>
      <c r="E2" t="s">
        <v>10</v>
      </c>
      <c r="H2">
        <v>245</v>
      </c>
    </row>
    <row r="3" spans="1:8">
      <c r="A3" s="2">
        <v>46047</v>
      </c>
      <c r="B3" s="3">
        <v>0.38384259259259257</v>
      </c>
      <c r="C3" t="s">
        <v>11</v>
      </c>
      <c r="D3" t="s">
        <v>12</v>
      </c>
      <c r="E3" t="s">
        <v>13</v>
      </c>
      <c r="H3">
        <v>780</v>
      </c>
    </row>
    <row r="4" spans="1:8">
      <c r="A4" s="2">
        <v>46047</v>
      </c>
      <c r="B4" s="3">
        <v>0.38760416666666669</v>
      </c>
      <c r="C4" t="s">
        <v>14</v>
      </c>
      <c r="D4" t="s">
        <v>15</v>
      </c>
      <c r="E4" t="s">
        <v>16</v>
      </c>
      <c r="H4">
        <v>120</v>
      </c>
    </row>
    <row r="5" spans="1:8">
      <c r="A5" s="2">
        <v>46047</v>
      </c>
      <c r="B5" s="3">
        <v>0.39341435185185186</v>
      </c>
      <c r="C5" t="s">
        <v>8</v>
      </c>
      <c r="D5" t="s">
        <v>17</v>
      </c>
      <c r="E5" t="s">
        <v>10</v>
      </c>
      <c r="F5" t="s">
        <v>18</v>
      </c>
      <c r="G5" t="s">
        <v>19</v>
      </c>
      <c r="H5">
        <v>1560</v>
      </c>
    </row>
    <row r="6" spans="1:8">
      <c r="A6" s="2">
        <v>46047</v>
      </c>
      <c r="B6" s="3">
        <v>0.40355324074074073</v>
      </c>
      <c r="C6" t="s">
        <v>11</v>
      </c>
      <c r="D6" t="s">
        <v>20</v>
      </c>
      <c r="E6" t="s">
        <v>13</v>
      </c>
      <c r="H6">
        <v>340</v>
      </c>
    </row>
    <row r="7" spans="1:8">
      <c r="A7" s="2">
        <v>46047</v>
      </c>
      <c r="B7" s="3">
        <v>0.41344907407407405</v>
      </c>
      <c r="C7" t="s">
        <v>14</v>
      </c>
      <c r="D7" t="s">
        <v>21</v>
      </c>
      <c r="E7" t="s">
        <v>16</v>
      </c>
      <c r="H7">
        <v>2150</v>
      </c>
    </row>
    <row r="8" spans="1:8">
      <c r="A8" s="2">
        <v>46047</v>
      </c>
      <c r="B8" s="3">
        <v>0.41895833333333332</v>
      </c>
      <c r="C8" t="s">
        <v>8</v>
      </c>
      <c r="D8" t="s">
        <v>22</v>
      </c>
      <c r="E8" t="s">
        <v>10</v>
      </c>
      <c r="H8">
        <v>95</v>
      </c>
    </row>
    <row r="9" spans="1:8">
      <c r="A9" s="2">
        <v>46047</v>
      </c>
      <c r="B9" s="3">
        <v>0.42770833333333336</v>
      </c>
      <c r="C9" t="s">
        <v>11</v>
      </c>
      <c r="D9" t="s">
        <v>23</v>
      </c>
      <c r="E9" t="s">
        <v>13</v>
      </c>
      <c r="F9" t="s">
        <v>24</v>
      </c>
      <c r="G9" t="s">
        <v>25</v>
      </c>
      <c r="H9">
        <v>890</v>
      </c>
    </row>
    <row r="10" spans="1:8">
      <c r="A10" s="2">
        <v>46047</v>
      </c>
      <c r="B10" s="3">
        <v>0.43657407407407406</v>
      </c>
      <c r="C10" t="s">
        <v>14</v>
      </c>
      <c r="D10" t="s">
        <v>26</v>
      </c>
      <c r="E10" t="s">
        <v>16</v>
      </c>
      <c r="H10">
        <v>460</v>
      </c>
    </row>
    <row r="11" spans="1:8">
      <c r="A11" s="2">
        <v>46047</v>
      </c>
      <c r="B11" s="3">
        <v>0.44596064814814818</v>
      </c>
      <c r="C11" t="s">
        <v>8</v>
      </c>
      <c r="D11" t="s">
        <v>27</v>
      </c>
      <c r="E11" t="s">
        <v>10</v>
      </c>
      <c r="H11">
        <v>1320</v>
      </c>
    </row>
    <row r="12" spans="1:8">
      <c r="A12" s="2">
        <v>46047</v>
      </c>
      <c r="B12" s="3">
        <v>0.45489583333333333</v>
      </c>
      <c r="C12" t="s">
        <v>11</v>
      </c>
      <c r="D12" t="s">
        <v>28</v>
      </c>
      <c r="E12" t="s">
        <v>13</v>
      </c>
      <c r="H12">
        <v>275</v>
      </c>
    </row>
    <row r="13" spans="1:8">
      <c r="A13" s="2">
        <v>46047</v>
      </c>
      <c r="B13" s="3">
        <v>0.46376157407407409</v>
      </c>
      <c r="C13" t="s">
        <v>14</v>
      </c>
      <c r="D13" t="s">
        <v>29</v>
      </c>
      <c r="E13" t="s">
        <v>16</v>
      </c>
      <c r="F13" t="s">
        <v>30</v>
      </c>
      <c r="G13" t="s">
        <v>31</v>
      </c>
      <c r="H13">
        <v>2140</v>
      </c>
    </row>
    <row r="14" spans="1:8">
      <c r="A14" s="2">
        <v>46047</v>
      </c>
      <c r="B14" s="3">
        <v>0.47182870370370372</v>
      </c>
      <c r="C14" t="s">
        <v>8</v>
      </c>
      <c r="D14" t="s">
        <v>32</v>
      </c>
      <c r="E14" t="s">
        <v>10</v>
      </c>
      <c r="H14">
        <v>560</v>
      </c>
    </row>
    <row r="15" spans="1:8">
      <c r="A15" s="2">
        <v>46047</v>
      </c>
      <c r="B15" s="3">
        <v>0.48192129629629632</v>
      </c>
      <c r="C15" t="s">
        <v>11</v>
      </c>
      <c r="D15" t="s">
        <v>33</v>
      </c>
      <c r="E15" t="s">
        <v>13</v>
      </c>
      <c r="H15">
        <v>410</v>
      </c>
    </row>
    <row r="16" spans="1:8">
      <c r="A16" s="2">
        <v>46047</v>
      </c>
      <c r="B16" s="3">
        <v>0.49178240740740742</v>
      </c>
      <c r="C16" t="s">
        <v>14</v>
      </c>
      <c r="D16" t="s">
        <v>34</v>
      </c>
      <c r="E16" t="s">
        <v>16</v>
      </c>
      <c r="H16">
        <v>75</v>
      </c>
    </row>
    <row r="17" spans="1:8">
      <c r="A17" s="2">
        <v>46047</v>
      </c>
      <c r="B17" s="3">
        <v>0.50189814814814815</v>
      </c>
      <c r="C17" t="s">
        <v>8</v>
      </c>
      <c r="D17" t="s">
        <v>35</v>
      </c>
      <c r="E17" t="s">
        <v>10</v>
      </c>
      <c r="F17" t="s">
        <v>36</v>
      </c>
      <c r="G17" t="s">
        <v>37</v>
      </c>
      <c r="H17">
        <v>3250</v>
      </c>
    </row>
    <row r="18" spans="1:8">
      <c r="A18" s="2">
        <v>46047</v>
      </c>
      <c r="B18" s="3">
        <v>0.51285879629629627</v>
      </c>
      <c r="C18" t="s">
        <v>11</v>
      </c>
      <c r="D18" t="s">
        <v>38</v>
      </c>
      <c r="E18" t="s">
        <v>13</v>
      </c>
      <c r="H18">
        <v>980</v>
      </c>
    </row>
    <row r="19" spans="1:8">
      <c r="A19" s="2">
        <v>46047</v>
      </c>
      <c r="B19" s="3">
        <v>0.52424768518518516</v>
      </c>
      <c r="C19" t="s">
        <v>14</v>
      </c>
      <c r="D19" t="s">
        <v>39</v>
      </c>
      <c r="E19" t="s">
        <v>16</v>
      </c>
      <c r="H19">
        <v>150</v>
      </c>
    </row>
    <row r="20" spans="1:8">
      <c r="A20" s="2">
        <v>46047</v>
      </c>
      <c r="B20" s="3">
        <v>0.53491898148148154</v>
      </c>
      <c r="C20" t="s">
        <v>8</v>
      </c>
      <c r="D20" t="s">
        <v>40</v>
      </c>
      <c r="E20" t="s">
        <v>10</v>
      </c>
      <c r="H20">
        <v>670</v>
      </c>
    </row>
    <row r="21" spans="1:8">
      <c r="A21" s="2">
        <v>46047</v>
      </c>
      <c r="B21" s="3">
        <v>0.54562500000000003</v>
      </c>
      <c r="C21" t="s">
        <v>11</v>
      </c>
      <c r="D21" t="s">
        <v>41</v>
      </c>
      <c r="E21" t="s">
        <v>13</v>
      </c>
      <c r="F21" t="s">
        <v>42</v>
      </c>
      <c r="G21" t="s">
        <v>43</v>
      </c>
      <c r="H21">
        <v>1240</v>
      </c>
    </row>
    <row r="22" spans="1:8">
      <c r="A22" s="2">
        <v>46047</v>
      </c>
      <c r="B22" s="3">
        <v>0.557037037037037</v>
      </c>
      <c r="C22" t="s">
        <v>14</v>
      </c>
      <c r="D22" t="s">
        <v>44</v>
      </c>
      <c r="E22" t="s">
        <v>16</v>
      </c>
      <c r="H22">
        <v>210</v>
      </c>
    </row>
    <row r="23" spans="1:8">
      <c r="A23" s="2">
        <v>46047</v>
      </c>
      <c r="B23" s="3">
        <v>0.56870370370370371</v>
      </c>
      <c r="C23" t="s">
        <v>8</v>
      </c>
      <c r="D23" t="s">
        <v>45</v>
      </c>
      <c r="E23" t="s">
        <v>10</v>
      </c>
      <c r="H23">
        <v>1840</v>
      </c>
    </row>
    <row r="24" spans="1:8">
      <c r="A24" s="2">
        <v>46047</v>
      </c>
      <c r="B24" s="3">
        <v>0.58010416666666664</v>
      </c>
      <c r="C24" t="s">
        <v>11</v>
      </c>
      <c r="D24" t="s">
        <v>46</v>
      </c>
      <c r="E24" t="s">
        <v>13</v>
      </c>
      <c r="H24">
        <v>-320</v>
      </c>
    </row>
    <row r="25" spans="1:8">
      <c r="A25" s="2">
        <v>46047</v>
      </c>
      <c r="B25" s="3">
        <v>0.59012731481481484</v>
      </c>
      <c r="C25" t="s">
        <v>14</v>
      </c>
      <c r="D25" t="s">
        <v>47</v>
      </c>
      <c r="E25" t="s">
        <v>16</v>
      </c>
      <c r="H25">
        <v>540</v>
      </c>
    </row>
    <row r="26" spans="1:8">
      <c r="A26" s="2">
        <v>46047</v>
      </c>
      <c r="B26" s="3">
        <v>0.60038194444444448</v>
      </c>
      <c r="C26" t="s">
        <v>8</v>
      </c>
      <c r="D26" t="s">
        <v>48</v>
      </c>
      <c r="E26" t="s">
        <v>10</v>
      </c>
      <c r="F26" t="s">
        <v>49</v>
      </c>
      <c r="G26" t="s">
        <v>50</v>
      </c>
      <c r="H26">
        <v>2750</v>
      </c>
    </row>
    <row r="27" spans="1:8">
      <c r="A27" s="2">
        <v>46047</v>
      </c>
      <c r="B27" s="3">
        <v>0.61131944444444442</v>
      </c>
      <c r="C27" t="s">
        <v>11</v>
      </c>
      <c r="D27" t="s">
        <v>51</v>
      </c>
      <c r="E27" t="s">
        <v>13</v>
      </c>
      <c r="H27">
        <v>360</v>
      </c>
    </row>
    <row r="28" spans="1:8">
      <c r="A28" s="2">
        <v>46047</v>
      </c>
      <c r="B28" s="3">
        <v>0.62155092592592598</v>
      </c>
      <c r="C28" t="s">
        <v>14</v>
      </c>
      <c r="D28" t="s">
        <v>52</v>
      </c>
      <c r="E28" t="s">
        <v>16</v>
      </c>
      <c r="H28">
        <v>1120</v>
      </c>
    </row>
    <row r="29" spans="1:8">
      <c r="A29" s="2">
        <v>46047</v>
      </c>
      <c r="B29" s="3">
        <v>0.63320601851851854</v>
      </c>
      <c r="C29" t="s">
        <v>8</v>
      </c>
      <c r="D29" t="s">
        <v>53</v>
      </c>
      <c r="E29" t="s">
        <v>10</v>
      </c>
      <c r="H29">
        <v>-450</v>
      </c>
    </row>
    <row r="30" spans="1:8">
      <c r="A30" s="2">
        <v>46047</v>
      </c>
      <c r="B30" s="3">
        <v>0.64486111111111111</v>
      </c>
      <c r="C30" t="s">
        <v>11</v>
      </c>
      <c r="D30" t="s">
        <v>54</v>
      </c>
      <c r="E30" t="s">
        <v>13</v>
      </c>
      <c r="F30" t="s">
        <v>55</v>
      </c>
      <c r="G30" t="s">
        <v>56</v>
      </c>
      <c r="H30">
        <v>690</v>
      </c>
    </row>
    <row r="31" spans="1:8">
      <c r="A31" s="2">
        <v>46047</v>
      </c>
      <c r="B31" s="3">
        <v>0.65641203703703699</v>
      </c>
      <c r="C31" t="s">
        <v>14</v>
      </c>
      <c r="D31" t="s">
        <v>57</v>
      </c>
      <c r="E31" t="s">
        <v>16</v>
      </c>
      <c r="H31">
        <v>260</v>
      </c>
    </row>
    <row r="32" spans="1:8">
      <c r="A32" s="2">
        <v>46047</v>
      </c>
      <c r="B32" s="3">
        <v>0.66872685185185188</v>
      </c>
      <c r="C32" t="s">
        <v>8</v>
      </c>
      <c r="D32" t="s">
        <v>58</v>
      </c>
      <c r="E32" t="s">
        <v>10</v>
      </c>
      <c r="H32">
        <v>980</v>
      </c>
    </row>
    <row r="33" spans="1:8">
      <c r="A33" s="2">
        <v>46047</v>
      </c>
      <c r="B33" s="3">
        <v>0.67943287037037037</v>
      </c>
      <c r="C33" t="s">
        <v>11</v>
      </c>
      <c r="D33" t="s">
        <v>59</v>
      </c>
      <c r="E33" t="s">
        <v>13</v>
      </c>
      <c r="H33">
        <v>1430</v>
      </c>
    </row>
    <row r="34" spans="1:8">
      <c r="A34" s="2">
        <v>46047</v>
      </c>
      <c r="B34" s="3">
        <v>0.69075231481481481</v>
      </c>
      <c r="C34" t="s">
        <v>14</v>
      </c>
      <c r="D34" t="s">
        <v>60</v>
      </c>
      <c r="E34" t="s">
        <v>16</v>
      </c>
      <c r="F34" t="s">
        <v>61</v>
      </c>
      <c r="G34" t="s">
        <v>62</v>
      </c>
      <c r="H34">
        <v>4120</v>
      </c>
    </row>
    <row r="35" spans="1:8">
      <c r="A35" s="2">
        <v>46047</v>
      </c>
      <c r="B35" s="3">
        <v>0.70149305555555552</v>
      </c>
      <c r="C35" t="s">
        <v>8</v>
      </c>
      <c r="D35" t="s">
        <v>63</v>
      </c>
      <c r="E35" t="s">
        <v>10</v>
      </c>
      <c r="H35">
        <v>180</v>
      </c>
    </row>
    <row r="36" spans="1:8">
      <c r="A36" s="2">
        <v>46047</v>
      </c>
      <c r="B36" s="3">
        <v>0.71292824074074079</v>
      </c>
      <c r="C36" t="s">
        <v>11</v>
      </c>
      <c r="D36" t="s">
        <v>64</v>
      </c>
      <c r="E36" t="s">
        <v>13</v>
      </c>
      <c r="H36">
        <v>-210</v>
      </c>
    </row>
    <row r="37" spans="1:8">
      <c r="A37" s="2">
        <v>46047</v>
      </c>
      <c r="B37" s="3">
        <v>0.72423611111111108</v>
      </c>
      <c r="C37" t="s">
        <v>14</v>
      </c>
      <c r="D37" t="s">
        <v>65</v>
      </c>
      <c r="E37" t="s">
        <v>16</v>
      </c>
      <c r="H37">
        <v>760</v>
      </c>
    </row>
    <row r="38" spans="1:8">
      <c r="A38" s="2">
        <v>46047</v>
      </c>
      <c r="B38" s="3">
        <v>0.7357407407407407</v>
      </c>
      <c r="C38" t="s">
        <v>8</v>
      </c>
      <c r="D38" t="s">
        <v>66</v>
      </c>
      <c r="E38" t="s">
        <v>10</v>
      </c>
      <c r="F38" t="s">
        <v>67</v>
      </c>
      <c r="G38" t="s">
        <v>68</v>
      </c>
      <c r="H38">
        <v>990</v>
      </c>
    </row>
    <row r="39" spans="1:8">
      <c r="A39" s="2">
        <v>46047</v>
      </c>
      <c r="B39" s="3">
        <v>0.74706018518518513</v>
      </c>
      <c r="C39" t="s">
        <v>11</v>
      </c>
      <c r="D39" t="s">
        <v>69</v>
      </c>
      <c r="E39" t="s">
        <v>13</v>
      </c>
      <c r="H39">
        <v>430</v>
      </c>
    </row>
    <row r="40" spans="1:8">
      <c r="A40" s="2">
        <v>46047</v>
      </c>
      <c r="B40" s="3">
        <v>0.75855324074074071</v>
      </c>
      <c r="C40" t="s">
        <v>14</v>
      </c>
      <c r="D40" t="s">
        <v>70</v>
      </c>
      <c r="E40" t="s">
        <v>16</v>
      </c>
      <c r="H40">
        <v>1580</v>
      </c>
    </row>
    <row r="41" spans="1:8">
      <c r="A41" s="2">
        <v>46047</v>
      </c>
      <c r="B41" s="3">
        <v>0.76949074074074075</v>
      </c>
      <c r="C41" t="s">
        <v>8</v>
      </c>
      <c r="D41" t="s">
        <v>71</v>
      </c>
      <c r="E41" t="s">
        <v>10</v>
      </c>
      <c r="H41">
        <v>220</v>
      </c>
    </row>
    <row r="42" spans="1:8">
      <c r="A42" s="2">
        <v>46047</v>
      </c>
      <c r="B42" s="3">
        <v>0.78114583333333332</v>
      </c>
      <c r="C42" t="s">
        <v>11</v>
      </c>
      <c r="D42" t="s">
        <v>72</v>
      </c>
      <c r="E42" t="s">
        <v>13</v>
      </c>
      <c r="F42" t="s">
        <v>73</v>
      </c>
      <c r="G42" t="s">
        <v>74</v>
      </c>
      <c r="H42">
        <v>3050</v>
      </c>
    </row>
    <row r="43" spans="1:8">
      <c r="A43" s="2">
        <v>46047</v>
      </c>
      <c r="B43" s="3">
        <v>0.79274305555555558</v>
      </c>
      <c r="C43" t="s">
        <v>14</v>
      </c>
      <c r="D43" t="s">
        <v>75</v>
      </c>
      <c r="E43" t="s">
        <v>16</v>
      </c>
      <c r="H43">
        <v>640</v>
      </c>
    </row>
    <row r="44" spans="1:8">
      <c r="A44" s="2">
        <v>46047</v>
      </c>
      <c r="B44" s="3">
        <v>0.80424768518518519</v>
      </c>
      <c r="C44" t="s">
        <v>8</v>
      </c>
      <c r="D44" t="s">
        <v>76</v>
      </c>
      <c r="E44" t="s">
        <v>10</v>
      </c>
      <c r="H44">
        <v>-150</v>
      </c>
    </row>
    <row r="45" spans="1:8">
      <c r="A45" s="2">
        <v>46047</v>
      </c>
      <c r="B45" s="3">
        <v>0.81576388888888884</v>
      </c>
      <c r="C45" t="s">
        <v>11</v>
      </c>
      <c r="D45" t="s">
        <v>77</v>
      </c>
      <c r="E45" t="s">
        <v>13</v>
      </c>
      <c r="H45">
        <v>870</v>
      </c>
    </row>
    <row r="46" spans="1:8">
      <c r="A46" s="2">
        <v>46047</v>
      </c>
      <c r="B46" s="3">
        <v>0.82737268518518514</v>
      </c>
      <c r="C46" t="s">
        <v>14</v>
      </c>
      <c r="D46" t="s">
        <v>78</v>
      </c>
      <c r="E46" t="s">
        <v>16</v>
      </c>
      <c r="F46" t="s">
        <v>79</v>
      </c>
      <c r="G46" t="s">
        <v>80</v>
      </c>
      <c r="H46">
        <v>1780</v>
      </c>
    </row>
    <row r="47" spans="1:8">
      <c r="A47" s="2">
        <v>46047</v>
      </c>
      <c r="B47" s="3">
        <v>0.83953703703703708</v>
      </c>
      <c r="C47" t="s">
        <v>8</v>
      </c>
      <c r="D47" t="s">
        <v>81</v>
      </c>
      <c r="E47" t="s">
        <v>10</v>
      </c>
      <c r="H47">
        <v>490</v>
      </c>
    </row>
    <row r="48" spans="1:8">
      <c r="A48" s="2">
        <v>46047</v>
      </c>
      <c r="B48" s="3">
        <v>0.85155092592592596</v>
      </c>
      <c r="C48" t="s">
        <v>11</v>
      </c>
      <c r="D48" t="s">
        <v>82</v>
      </c>
      <c r="E48" t="s">
        <v>13</v>
      </c>
      <c r="H48">
        <v>265</v>
      </c>
    </row>
    <row r="49" spans="1:8">
      <c r="A49" s="2">
        <v>46047</v>
      </c>
      <c r="B49" s="3">
        <v>0.86434027777777778</v>
      </c>
      <c r="C49" t="s">
        <v>14</v>
      </c>
      <c r="D49" t="s">
        <v>83</v>
      </c>
      <c r="E49" t="s">
        <v>16</v>
      </c>
      <c r="H49">
        <v>980</v>
      </c>
    </row>
    <row r="50" spans="1:8">
      <c r="A50" s="2">
        <v>46047</v>
      </c>
      <c r="B50" s="3">
        <v>0.87651620370370376</v>
      </c>
      <c r="C50" t="s">
        <v>8</v>
      </c>
      <c r="D50" t="s">
        <v>84</v>
      </c>
      <c r="E50" t="s">
        <v>10</v>
      </c>
      <c r="F50" t="s">
        <v>85</v>
      </c>
      <c r="G50" t="s">
        <v>86</v>
      </c>
      <c r="H50">
        <v>2250</v>
      </c>
    </row>
    <row r="51" spans="1:8">
      <c r="A51" s="2">
        <v>46047</v>
      </c>
      <c r="B51" s="3">
        <v>0.88873842592592589</v>
      </c>
      <c r="C51" t="s">
        <v>11</v>
      </c>
      <c r="D51" t="s">
        <v>87</v>
      </c>
      <c r="E51" t="s">
        <v>13</v>
      </c>
      <c r="H51">
        <v>340</v>
      </c>
    </row>
    <row r="52" spans="1:8">
      <c r="A52" s="2">
        <v>46047</v>
      </c>
      <c r="B52" s="3">
        <v>0.90144675925925921</v>
      </c>
      <c r="C52" t="s">
        <v>14</v>
      </c>
      <c r="D52" t="s">
        <v>88</v>
      </c>
      <c r="E52" t="s">
        <v>16</v>
      </c>
      <c r="H52">
        <v>1590</v>
      </c>
    </row>
    <row r="53" spans="1:8">
      <c r="A53" s="2">
        <v>46047</v>
      </c>
      <c r="B53" s="3">
        <v>0.93559027777777781</v>
      </c>
      <c r="C53" t="s">
        <v>11</v>
      </c>
      <c r="D53" t="s">
        <v>89</v>
      </c>
      <c r="E53" t="s">
        <v>13</v>
      </c>
      <c r="H53">
        <v>180</v>
      </c>
    </row>
    <row r="54" spans="1:8">
      <c r="A54" s="2">
        <v>46047</v>
      </c>
      <c r="B54" s="3">
        <v>0.93590277777777775</v>
      </c>
      <c r="C54" t="s">
        <v>14</v>
      </c>
      <c r="D54" t="s">
        <v>90</v>
      </c>
      <c r="E54" t="s">
        <v>16</v>
      </c>
      <c r="H54">
        <v>420</v>
      </c>
    </row>
    <row r="55" spans="1:8">
      <c r="A55" s="2">
        <v>46047</v>
      </c>
      <c r="B55" s="3">
        <v>0.93616898148148153</v>
      </c>
      <c r="C55" t="s">
        <v>8</v>
      </c>
      <c r="D55" t="s">
        <v>91</v>
      </c>
      <c r="E55" t="s">
        <v>10</v>
      </c>
      <c r="F55" t="s">
        <v>92</v>
      </c>
      <c r="G55" t="s">
        <v>93</v>
      </c>
      <c r="H55">
        <v>2150</v>
      </c>
    </row>
    <row r="56" spans="1:8">
      <c r="A56" s="2">
        <v>46047</v>
      </c>
      <c r="B56" s="3">
        <v>0.93646990740740743</v>
      </c>
      <c r="C56" t="s">
        <v>11</v>
      </c>
      <c r="D56" t="s">
        <v>94</v>
      </c>
      <c r="E56" t="s">
        <v>13</v>
      </c>
      <c r="H56">
        <v>95</v>
      </c>
    </row>
    <row r="57" spans="1:8">
      <c r="A57" s="2">
        <v>46047</v>
      </c>
      <c r="B57" s="3">
        <v>0.93678240740740737</v>
      </c>
      <c r="C57" t="s">
        <v>14</v>
      </c>
      <c r="D57" t="s">
        <v>95</v>
      </c>
      <c r="E57" t="s">
        <v>16</v>
      </c>
      <c r="H57">
        <v>760</v>
      </c>
    </row>
    <row r="58" spans="1:8">
      <c r="A58" s="2">
        <v>46047</v>
      </c>
      <c r="B58" s="3">
        <v>0.93694444444444447</v>
      </c>
      <c r="C58" t="s">
        <v>8</v>
      </c>
      <c r="D58" t="s">
        <v>96</v>
      </c>
      <c r="E58" t="s">
        <v>10</v>
      </c>
      <c r="H58">
        <v>340</v>
      </c>
    </row>
    <row r="59" spans="1:8">
      <c r="A59" s="2">
        <v>46047</v>
      </c>
      <c r="B59" s="3">
        <v>0.93712962962962965</v>
      </c>
      <c r="C59" t="s">
        <v>11</v>
      </c>
      <c r="D59" t="s">
        <v>97</v>
      </c>
      <c r="E59" t="s">
        <v>13</v>
      </c>
      <c r="F59" t="s">
        <v>98</v>
      </c>
      <c r="G59" t="s">
        <v>99</v>
      </c>
      <c r="H59">
        <v>1290</v>
      </c>
    </row>
    <row r="60" spans="1:8">
      <c r="A60" s="2">
        <v>46047</v>
      </c>
      <c r="B60" s="3">
        <v>0.9372800925925926</v>
      </c>
      <c r="C60" t="s">
        <v>14</v>
      </c>
      <c r="D60" t="s">
        <v>100</v>
      </c>
      <c r="E60" t="s">
        <v>16</v>
      </c>
      <c r="H60">
        <v>210</v>
      </c>
    </row>
    <row r="61" spans="1:8">
      <c r="A61" s="2">
        <v>46047</v>
      </c>
      <c r="B61" s="3">
        <v>0.93744212962962958</v>
      </c>
      <c r="C61" t="s">
        <v>8</v>
      </c>
      <c r="D61" t="s">
        <v>101</v>
      </c>
      <c r="E61" t="s">
        <v>10</v>
      </c>
      <c r="H61">
        <v>560</v>
      </c>
    </row>
    <row r="62" spans="1:8">
      <c r="A62" s="2">
        <v>46047</v>
      </c>
      <c r="B62" s="3">
        <v>0.93751157407407404</v>
      </c>
      <c r="C62" t="s">
        <v>11</v>
      </c>
      <c r="D62" t="s">
        <v>102</v>
      </c>
      <c r="E62" t="s">
        <v>13</v>
      </c>
      <c r="H62">
        <v>-150</v>
      </c>
    </row>
    <row r="63" spans="1:8">
      <c r="A63" s="2">
        <v>46047</v>
      </c>
      <c r="B63" s="3">
        <v>0.88215277777777779</v>
      </c>
      <c r="C63" t="s">
        <v>8</v>
      </c>
      <c r="D63" t="s">
        <v>103</v>
      </c>
      <c r="E63" t="s">
        <v>10</v>
      </c>
      <c r="H63">
        <v>880</v>
      </c>
    </row>
    <row r="64" spans="1:8">
      <c r="A64" s="2">
        <v>46047</v>
      </c>
      <c r="B64" s="3">
        <v>0.8838773148148148</v>
      </c>
      <c r="C64" t="s">
        <v>11</v>
      </c>
      <c r="D64" t="s">
        <v>104</v>
      </c>
      <c r="E64" t="s">
        <v>13</v>
      </c>
      <c r="H64">
        <v>240</v>
      </c>
    </row>
    <row r="65" spans="1:8">
      <c r="A65" s="2">
        <v>46047</v>
      </c>
      <c r="B65" s="3">
        <v>0.88579861111111113</v>
      </c>
      <c r="C65" t="s">
        <v>14</v>
      </c>
      <c r="D65" t="s">
        <v>105</v>
      </c>
      <c r="E65" t="s">
        <v>16</v>
      </c>
      <c r="F65" t="s">
        <v>106</v>
      </c>
      <c r="G65" t="s">
        <v>107</v>
      </c>
      <c r="H65">
        <v>3450</v>
      </c>
    </row>
    <row r="66" spans="1:8">
      <c r="A66" s="2">
        <v>46047</v>
      </c>
      <c r="B66" s="3">
        <v>0.88755787037037037</v>
      </c>
      <c r="C66" t="s">
        <v>8</v>
      </c>
      <c r="D66" t="s">
        <v>108</v>
      </c>
      <c r="E66" t="s">
        <v>10</v>
      </c>
      <c r="H66">
        <v>130</v>
      </c>
    </row>
    <row r="67" spans="1:8">
      <c r="A67" s="2">
        <v>46047</v>
      </c>
      <c r="B67" s="3">
        <v>0.89015046296296296</v>
      </c>
      <c r="C67" t="s">
        <v>11</v>
      </c>
      <c r="D67" t="s">
        <v>109</v>
      </c>
      <c r="E67" t="s">
        <v>13</v>
      </c>
      <c r="H67">
        <v>670</v>
      </c>
    </row>
    <row r="68" spans="1:8">
      <c r="A68" s="2">
        <v>46047</v>
      </c>
      <c r="B68" s="3">
        <v>0.8918518518518519</v>
      </c>
      <c r="C68" t="s">
        <v>14</v>
      </c>
      <c r="D68" t="s">
        <v>110</v>
      </c>
      <c r="E68" t="s">
        <v>16</v>
      </c>
      <c r="H68">
        <v>420</v>
      </c>
    </row>
    <row r="69" spans="1:8">
      <c r="A69" s="2">
        <v>46047</v>
      </c>
      <c r="B69" s="3">
        <v>0.89418981481481485</v>
      </c>
      <c r="C69" t="s">
        <v>8</v>
      </c>
      <c r="D69" t="s">
        <v>111</v>
      </c>
      <c r="E69" t="s">
        <v>10</v>
      </c>
      <c r="F69" t="s">
        <v>112</v>
      </c>
      <c r="G69" t="s">
        <v>113</v>
      </c>
      <c r="H69">
        <v>1980</v>
      </c>
    </row>
    <row r="70" spans="1:8">
      <c r="A70" s="2">
        <v>46047</v>
      </c>
      <c r="B70" s="3">
        <v>0.89643518518518517</v>
      </c>
      <c r="C70" t="s">
        <v>11</v>
      </c>
      <c r="D70" t="s">
        <v>114</v>
      </c>
      <c r="E70" t="s">
        <v>13</v>
      </c>
      <c r="H70">
        <v>510</v>
      </c>
    </row>
    <row r="71" spans="1:8">
      <c r="A71" s="2">
        <v>46047</v>
      </c>
      <c r="B71" s="3">
        <v>0.89869212962962963</v>
      </c>
      <c r="C71" t="s">
        <v>14</v>
      </c>
      <c r="D71" t="s">
        <v>115</v>
      </c>
      <c r="E71" t="s">
        <v>16</v>
      </c>
      <c r="H71">
        <v>90</v>
      </c>
    </row>
    <row r="72" spans="1:8">
      <c r="A72" s="2">
        <v>46047</v>
      </c>
      <c r="B72" s="3">
        <v>0.90120370370370373</v>
      </c>
      <c r="C72" t="s">
        <v>8</v>
      </c>
      <c r="D72" t="s">
        <v>116</v>
      </c>
      <c r="E72" t="s">
        <v>10</v>
      </c>
      <c r="H72">
        <v>1450</v>
      </c>
    </row>
    <row r="73" spans="1:8">
      <c r="A73" s="2">
        <v>46047</v>
      </c>
      <c r="B73" s="3">
        <v>0.90359953703703699</v>
      </c>
      <c r="C73" t="s">
        <v>11</v>
      </c>
      <c r="D73" t="s">
        <v>117</v>
      </c>
      <c r="E73" t="s">
        <v>13</v>
      </c>
      <c r="H73">
        <v>-260</v>
      </c>
    </row>
    <row r="74" spans="1:8">
      <c r="A74" s="2">
        <v>46047</v>
      </c>
      <c r="B74" s="3">
        <v>0.90589120370370368</v>
      </c>
      <c r="C74" t="s">
        <v>14</v>
      </c>
      <c r="D74" t="s">
        <v>118</v>
      </c>
      <c r="E74" t="s">
        <v>16</v>
      </c>
      <c r="F74" t="s">
        <v>119</v>
      </c>
      <c r="G74" t="s">
        <v>120</v>
      </c>
      <c r="H74">
        <v>2750</v>
      </c>
    </row>
    <row r="75" spans="1:8">
      <c r="A75" s="2">
        <v>46047</v>
      </c>
      <c r="B75" s="3">
        <v>0.90831018518518514</v>
      </c>
      <c r="C75" t="s">
        <v>8</v>
      </c>
      <c r="D75" t="s">
        <v>121</v>
      </c>
      <c r="E75" t="s">
        <v>10</v>
      </c>
      <c r="H75">
        <v>360</v>
      </c>
    </row>
    <row r="76" spans="1:8">
      <c r="A76" s="2">
        <v>46047</v>
      </c>
      <c r="B76" s="3">
        <v>0.90997685185185184</v>
      </c>
      <c r="C76" t="s">
        <v>11</v>
      </c>
      <c r="D76" t="s">
        <v>122</v>
      </c>
      <c r="E76" t="s">
        <v>13</v>
      </c>
      <c r="H76">
        <v>820</v>
      </c>
    </row>
    <row r="77" spans="1:8">
      <c r="A77" s="2">
        <v>46047</v>
      </c>
      <c r="B77" s="3">
        <v>0.91228009259259257</v>
      </c>
      <c r="C77" t="s">
        <v>14</v>
      </c>
      <c r="D77" t="s">
        <v>123</v>
      </c>
      <c r="E77" t="s">
        <v>16</v>
      </c>
      <c r="H77">
        <v>410</v>
      </c>
    </row>
    <row r="78" spans="1:8">
      <c r="A78" s="2">
        <v>46047</v>
      </c>
      <c r="B78" s="3">
        <v>0.84173611111111113</v>
      </c>
      <c r="C78" t="s">
        <v>8</v>
      </c>
      <c r="D78" t="s">
        <v>124</v>
      </c>
      <c r="E78" t="s">
        <v>10</v>
      </c>
      <c r="F78" t="s">
        <v>125</v>
      </c>
      <c r="G78" t="s">
        <v>126</v>
      </c>
      <c r="H78">
        <v>1540</v>
      </c>
    </row>
    <row r="79" spans="1:8">
      <c r="A79" s="2">
        <v>46047</v>
      </c>
      <c r="B79" s="3">
        <v>0.84501157407407412</v>
      </c>
      <c r="C79" t="s">
        <v>11</v>
      </c>
      <c r="D79" t="s">
        <v>127</v>
      </c>
      <c r="E79" t="s">
        <v>13</v>
      </c>
      <c r="H79">
        <v>260</v>
      </c>
    </row>
    <row r="80" spans="1:8">
      <c r="A80" s="2">
        <v>46047</v>
      </c>
      <c r="B80" s="3">
        <v>0.84834490740740742</v>
      </c>
      <c r="C80" t="s">
        <v>14</v>
      </c>
      <c r="D80" t="s">
        <v>128</v>
      </c>
      <c r="E80" t="s">
        <v>16</v>
      </c>
      <c r="H80">
        <v>690</v>
      </c>
    </row>
    <row r="81" spans="1:8">
      <c r="A81" s="2">
        <v>46047</v>
      </c>
      <c r="B81" s="3">
        <v>0.85090277777777779</v>
      </c>
      <c r="C81" t="s">
        <v>8</v>
      </c>
      <c r="D81" t="s">
        <v>129</v>
      </c>
      <c r="E81" t="s">
        <v>10</v>
      </c>
      <c r="H81">
        <v>-320</v>
      </c>
    </row>
    <row r="82" spans="1:8">
      <c r="A82" s="2">
        <v>46047</v>
      </c>
      <c r="B82" s="3">
        <v>0.85410879629629632</v>
      </c>
      <c r="C82" t="s">
        <v>11</v>
      </c>
      <c r="D82" t="s">
        <v>130</v>
      </c>
      <c r="E82" t="s">
        <v>13</v>
      </c>
      <c r="H82">
        <v>1340</v>
      </c>
    </row>
    <row r="83" spans="1:8">
      <c r="A83" s="2">
        <v>46047</v>
      </c>
      <c r="B83" s="3">
        <v>0.85655092592592597</v>
      </c>
      <c r="C83" t="s">
        <v>14</v>
      </c>
      <c r="D83" t="s">
        <v>131</v>
      </c>
      <c r="E83" t="s">
        <v>16</v>
      </c>
      <c r="F83" t="s">
        <v>132</v>
      </c>
      <c r="G83" t="s">
        <v>133</v>
      </c>
      <c r="H83">
        <v>3890</v>
      </c>
    </row>
    <row r="84" spans="1:8">
      <c r="A84" s="2">
        <v>46047</v>
      </c>
      <c r="B84" s="3">
        <v>0.85953703703703699</v>
      </c>
      <c r="C84" t="s">
        <v>8</v>
      </c>
      <c r="D84" t="s">
        <v>134</v>
      </c>
      <c r="E84" t="s">
        <v>10</v>
      </c>
      <c r="H84">
        <v>210</v>
      </c>
    </row>
    <row r="85" spans="1:8">
      <c r="A85" s="2">
        <v>46047</v>
      </c>
      <c r="B85" s="3">
        <v>0.86262731481481481</v>
      </c>
      <c r="C85" t="s">
        <v>11</v>
      </c>
      <c r="D85" t="s">
        <v>135</v>
      </c>
      <c r="E85" t="s">
        <v>13</v>
      </c>
      <c r="H85">
        <v>570</v>
      </c>
    </row>
    <row r="86" spans="1:8">
      <c r="A86" s="2">
        <v>46047</v>
      </c>
      <c r="B86" s="3">
        <v>0.86572916666666666</v>
      </c>
      <c r="C86" t="s">
        <v>14</v>
      </c>
      <c r="D86" t="s">
        <v>136</v>
      </c>
      <c r="E86" t="s">
        <v>16</v>
      </c>
      <c r="H86">
        <v>980</v>
      </c>
    </row>
    <row r="87" spans="1:8">
      <c r="A87" s="2">
        <v>46047</v>
      </c>
      <c r="B87" s="3">
        <v>0.86872685185185183</v>
      </c>
      <c r="C87" t="s">
        <v>8</v>
      </c>
      <c r="D87" t="s">
        <v>137</v>
      </c>
      <c r="E87" t="s">
        <v>10</v>
      </c>
      <c r="F87" t="s">
        <v>138</v>
      </c>
      <c r="G87" t="s">
        <v>139</v>
      </c>
      <c r="H87">
        <v>2470</v>
      </c>
    </row>
    <row r="88" spans="1:8">
      <c r="A88" s="2">
        <v>46047</v>
      </c>
      <c r="B88" s="3">
        <v>0.87179398148148146</v>
      </c>
      <c r="C88" t="s">
        <v>11</v>
      </c>
      <c r="D88" t="s">
        <v>140</v>
      </c>
      <c r="E88" t="s">
        <v>13</v>
      </c>
      <c r="H88">
        <v>310</v>
      </c>
    </row>
    <row r="89" spans="1:8">
      <c r="A89" s="2">
        <v>46047</v>
      </c>
      <c r="B89" s="3">
        <v>0.87484953703703705</v>
      </c>
      <c r="C89" t="s">
        <v>14</v>
      </c>
      <c r="D89" t="s">
        <v>141</v>
      </c>
      <c r="E89" t="s">
        <v>16</v>
      </c>
      <c r="H89">
        <v>440</v>
      </c>
    </row>
    <row r="90" spans="1:8">
      <c r="A90" s="2">
        <v>46047</v>
      </c>
      <c r="B90" s="3">
        <v>0.79877314814814815</v>
      </c>
      <c r="C90" t="s">
        <v>8</v>
      </c>
      <c r="D90" t="s">
        <v>142</v>
      </c>
      <c r="E90" t="s">
        <v>10</v>
      </c>
      <c r="H90">
        <v>760</v>
      </c>
    </row>
    <row r="91" spans="1:8">
      <c r="A91" s="2">
        <v>46047</v>
      </c>
      <c r="B91" s="3">
        <v>0.80206018518518518</v>
      </c>
      <c r="C91" t="s">
        <v>11</v>
      </c>
      <c r="D91" t="s">
        <v>143</v>
      </c>
      <c r="E91" t="s">
        <v>13</v>
      </c>
      <c r="H91">
        <v>-190</v>
      </c>
    </row>
    <row r="92" spans="1:8">
      <c r="A92" s="2">
        <v>46047</v>
      </c>
      <c r="B92" s="3">
        <v>0.80524305555555553</v>
      </c>
      <c r="C92" t="s">
        <v>14</v>
      </c>
      <c r="D92" t="s">
        <v>144</v>
      </c>
      <c r="E92" t="s">
        <v>16</v>
      </c>
      <c r="F92" t="s">
        <v>145</v>
      </c>
      <c r="G92" t="s">
        <v>146</v>
      </c>
      <c r="H92">
        <v>1680</v>
      </c>
    </row>
    <row r="93" spans="1:8">
      <c r="A93" s="2">
        <v>46047</v>
      </c>
      <c r="B93" s="3">
        <v>0.8084027777777778</v>
      </c>
      <c r="C93" t="s">
        <v>8</v>
      </c>
      <c r="D93" t="s">
        <v>147</v>
      </c>
      <c r="E93" t="s">
        <v>10</v>
      </c>
      <c r="H93">
        <v>290</v>
      </c>
    </row>
    <row r="94" spans="1:8">
      <c r="A94" s="2">
        <v>46047</v>
      </c>
      <c r="B94" s="3">
        <v>0.81170138888888888</v>
      </c>
      <c r="C94" t="s">
        <v>11</v>
      </c>
      <c r="D94" t="s">
        <v>148</v>
      </c>
      <c r="E94" t="s">
        <v>13</v>
      </c>
      <c r="H94">
        <v>920</v>
      </c>
    </row>
    <row r="95" spans="1:8">
      <c r="A95" s="2">
        <v>46047</v>
      </c>
      <c r="B95" s="3">
        <v>0.81489583333333337</v>
      </c>
      <c r="C95" t="s">
        <v>14</v>
      </c>
      <c r="D95" t="s">
        <v>149</v>
      </c>
      <c r="E95" t="s">
        <v>16</v>
      </c>
      <c r="H95">
        <v>510</v>
      </c>
    </row>
    <row r="96" spans="1:8">
      <c r="A96" s="2">
        <v>46047</v>
      </c>
      <c r="B96" s="3">
        <v>0.81807870370370372</v>
      </c>
      <c r="C96" t="s">
        <v>8</v>
      </c>
      <c r="D96" t="s">
        <v>150</v>
      </c>
      <c r="E96" t="s">
        <v>10</v>
      </c>
      <c r="F96" t="s">
        <v>151</v>
      </c>
      <c r="G96" t="s">
        <v>152</v>
      </c>
      <c r="H96">
        <v>3050</v>
      </c>
    </row>
    <row r="97" spans="1:8">
      <c r="A97" s="2">
        <v>46047</v>
      </c>
      <c r="B97" s="3">
        <v>0.82134259259259257</v>
      </c>
      <c r="C97" t="s">
        <v>11</v>
      </c>
      <c r="D97" t="s">
        <v>153</v>
      </c>
      <c r="E97" t="s">
        <v>13</v>
      </c>
      <c r="H97">
        <v>370</v>
      </c>
    </row>
    <row r="98" spans="1:8">
      <c r="A98" s="2">
        <v>46047</v>
      </c>
      <c r="B98" s="3">
        <v>0.82452546296296292</v>
      </c>
      <c r="C98" t="s">
        <v>14</v>
      </c>
      <c r="D98" t="s">
        <v>154</v>
      </c>
      <c r="E98" t="s">
        <v>16</v>
      </c>
      <c r="H98">
        <v>680</v>
      </c>
    </row>
    <row r="99" spans="1:8">
      <c r="A99" s="2">
        <v>46047</v>
      </c>
      <c r="B99" s="3">
        <v>0.75363425925925931</v>
      </c>
      <c r="C99" t="s">
        <v>8</v>
      </c>
      <c r="D99" t="s">
        <v>155</v>
      </c>
      <c r="E99" t="s">
        <v>10</v>
      </c>
      <c r="H99">
        <v>340</v>
      </c>
    </row>
    <row r="100" spans="1:8">
      <c r="A100" s="2">
        <v>46047</v>
      </c>
      <c r="B100" s="3">
        <v>0.75586805555555558</v>
      </c>
      <c r="C100" t="s">
        <v>11</v>
      </c>
      <c r="D100" t="s">
        <v>156</v>
      </c>
      <c r="E100" t="s">
        <v>13</v>
      </c>
      <c r="H100">
        <v>780</v>
      </c>
    </row>
    <row r="101" spans="1:8">
      <c r="A101" s="2">
        <v>46047</v>
      </c>
      <c r="B101" s="3">
        <v>0.75809027777777782</v>
      </c>
      <c r="C101" t="s">
        <v>14</v>
      </c>
      <c r="D101" t="s">
        <v>157</v>
      </c>
      <c r="E101" t="s">
        <v>16</v>
      </c>
      <c r="F101" t="s">
        <v>158</v>
      </c>
      <c r="G101" t="s">
        <v>159</v>
      </c>
      <c r="H101">
        <v>2190</v>
      </c>
    </row>
    <row r="102" spans="1:8">
      <c r="A102" s="2">
        <v>46047</v>
      </c>
      <c r="B102" s="3">
        <v>0.76043981481481482</v>
      </c>
      <c r="C102" t="s">
        <v>8</v>
      </c>
      <c r="D102" t="s">
        <v>160</v>
      </c>
      <c r="E102" t="s">
        <v>10</v>
      </c>
      <c r="H102">
        <v>120</v>
      </c>
    </row>
    <row r="103" spans="1:8">
      <c r="A103" s="2">
        <v>46047</v>
      </c>
      <c r="B103" s="3">
        <v>0.76303240740740741</v>
      </c>
      <c r="C103" t="s">
        <v>11</v>
      </c>
      <c r="D103" t="s">
        <v>161</v>
      </c>
      <c r="E103" t="s">
        <v>13</v>
      </c>
      <c r="H103">
        <v>560</v>
      </c>
    </row>
    <row r="104" spans="1:8">
      <c r="A104" s="2">
        <v>46047</v>
      </c>
      <c r="B104" s="3">
        <v>0.76563657407407404</v>
      </c>
      <c r="C104" t="s">
        <v>14</v>
      </c>
      <c r="D104" t="s">
        <v>162</v>
      </c>
      <c r="E104" t="s">
        <v>16</v>
      </c>
      <c r="H104">
        <v>430</v>
      </c>
    </row>
    <row r="105" spans="1:8">
      <c r="A105" s="2">
        <v>46047</v>
      </c>
      <c r="B105" s="3">
        <v>0.76814814814814814</v>
      </c>
      <c r="C105" t="s">
        <v>8</v>
      </c>
      <c r="D105" t="s">
        <v>163</v>
      </c>
      <c r="E105" t="s">
        <v>10</v>
      </c>
      <c r="F105" t="s">
        <v>164</v>
      </c>
      <c r="G105" t="s">
        <v>165</v>
      </c>
      <c r="H105">
        <v>2890</v>
      </c>
    </row>
    <row r="106" spans="1:8">
      <c r="A106" s="2">
        <v>46047</v>
      </c>
      <c r="B106" s="3">
        <v>0.77076388888888892</v>
      </c>
      <c r="C106" t="s">
        <v>11</v>
      </c>
      <c r="D106" t="s">
        <v>166</v>
      </c>
      <c r="E106" t="s">
        <v>13</v>
      </c>
      <c r="H106">
        <v>210</v>
      </c>
    </row>
    <row r="107" spans="1:8">
      <c r="A107" s="2">
        <v>46047</v>
      </c>
      <c r="B107" s="3">
        <v>0.77311342592592591</v>
      </c>
      <c r="C107" t="s">
        <v>14</v>
      </c>
      <c r="D107" t="s">
        <v>167</v>
      </c>
      <c r="E107" t="s">
        <v>16</v>
      </c>
      <c r="H107">
        <v>980</v>
      </c>
    </row>
    <row r="108" spans="1:8">
      <c r="A108" s="2">
        <v>46047</v>
      </c>
      <c r="B108" s="3">
        <v>0.77552083333333333</v>
      </c>
      <c r="C108" t="s">
        <v>8</v>
      </c>
      <c r="D108" t="s">
        <v>168</v>
      </c>
      <c r="E108" t="s">
        <v>10</v>
      </c>
      <c r="H108">
        <v>-260</v>
      </c>
    </row>
    <row r="109" spans="1:8">
      <c r="A109" s="2">
        <v>46047</v>
      </c>
      <c r="B109" s="3">
        <v>0.7779166666666667</v>
      </c>
      <c r="C109" t="s">
        <v>11</v>
      </c>
      <c r="D109" t="s">
        <v>169</v>
      </c>
      <c r="E109" t="s">
        <v>13</v>
      </c>
      <c r="H109">
        <v>370</v>
      </c>
    </row>
    <row r="110" spans="1:8">
      <c r="A110" s="2">
        <v>46047</v>
      </c>
      <c r="B110" s="3">
        <v>0.78054398148148152</v>
      </c>
      <c r="C110" t="s">
        <v>14</v>
      </c>
      <c r="D110" t="s">
        <v>170</v>
      </c>
      <c r="E110" t="s">
        <v>16</v>
      </c>
      <c r="F110" t="s">
        <v>171</v>
      </c>
      <c r="G110" t="s">
        <v>172</v>
      </c>
      <c r="H110">
        <v>1540</v>
      </c>
    </row>
    <row r="111" spans="1:8">
      <c r="A111" s="2">
        <v>46047</v>
      </c>
      <c r="B111" s="3">
        <v>0.78288194444444448</v>
      </c>
      <c r="C111" t="s">
        <v>8</v>
      </c>
      <c r="D111" t="s">
        <v>173</v>
      </c>
      <c r="E111" t="s">
        <v>10</v>
      </c>
      <c r="H111">
        <v>95</v>
      </c>
    </row>
    <row r="112" spans="1:8">
      <c r="A112" s="2">
        <v>46047</v>
      </c>
      <c r="B112" s="3">
        <v>0.78516203703703702</v>
      </c>
      <c r="C112" t="s">
        <v>11</v>
      </c>
      <c r="D112" t="s">
        <v>174</v>
      </c>
      <c r="E112" t="s">
        <v>13</v>
      </c>
      <c r="H112">
        <v>690</v>
      </c>
    </row>
    <row r="113" spans="1:8">
      <c r="A113" s="2">
        <v>46047</v>
      </c>
      <c r="B113" s="3">
        <v>0.78756944444444443</v>
      </c>
      <c r="C113" t="s">
        <v>14</v>
      </c>
      <c r="D113" t="s">
        <v>175</v>
      </c>
      <c r="E113" t="s">
        <v>16</v>
      </c>
      <c r="H113">
        <v>410</v>
      </c>
    </row>
    <row r="114" spans="1:8">
      <c r="A114" s="2">
        <v>46047</v>
      </c>
      <c r="B114" s="3">
        <v>0.79006944444444449</v>
      </c>
      <c r="C114" t="s">
        <v>8</v>
      </c>
      <c r="D114" t="s">
        <v>176</v>
      </c>
      <c r="E114" t="s">
        <v>10</v>
      </c>
      <c r="F114" t="s">
        <v>177</v>
      </c>
      <c r="G114" t="s">
        <v>178</v>
      </c>
      <c r="H114">
        <v>3250</v>
      </c>
    </row>
    <row r="115" spans="1:8">
      <c r="A115" s="2">
        <v>46047</v>
      </c>
      <c r="B115" s="3">
        <v>0.79256944444444444</v>
      </c>
      <c r="C115" t="s">
        <v>11</v>
      </c>
      <c r="D115" t="s">
        <v>179</v>
      </c>
      <c r="E115" t="s">
        <v>13</v>
      </c>
      <c r="H115">
        <v>260</v>
      </c>
    </row>
    <row r="116" spans="1:8">
      <c r="A116" s="2">
        <v>46047</v>
      </c>
      <c r="B116" s="3">
        <v>0.79505787037037035</v>
      </c>
      <c r="C116" t="s">
        <v>14</v>
      </c>
      <c r="D116" t="s">
        <v>180</v>
      </c>
      <c r="E116" t="s">
        <v>16</v>
      </c>
      <c r="H116">
        <v>840</v>
      </c>
    </row>
    <row r="117" spans="1:8">
      <c r="A117" s="2">
        <v>46047</v>
      </c>
      <c r="B117" s="3">
        <v>0.7975578703703704</v>
      </c>
      <c r="C117" t="s">
        <v>8</v>
      </c>
      <c r="D117" t="s">
        <v>181</v>
      </c>
      <c r="E117" t="s">
        <v>10</v>
      </c>
      <c r="H117">
        <v>150</v>
      </c>
    </row>
    <row r="118" spans="1:8">
      <c r="A118" s="2">
        <v>46047</v>
      </c>
      <c r="B118" s="3">
        <v>0.8000694444444445</v>
      </c>
      <c r="C118" t="s">
        <v>11</v>
      </c>
      <c r="D118" t="s">
        <v>182</v>
      </c>
      <c r="E118" t="s">
        <v>13</v>
      </c>
      <c r="F118" t="s">
        <v>183</v>
      </c>
      <c r="G118" t="s">
        <v>184</v>
      </c>
      <c r="H118">
        <v>1980</v>
      </c>
    </row>
    <row r="119" spans="1:8">
      <c r="A119" s="2">
        <v>46047</v>
      </c>
      <c r="B119" s="3">
        <v>0.80255787037037041</v>
      </c>
      <c r="C119" t="s">
        <v>14</v>
      </c>
      <c r="D119" t="s">
        <v>185</v>
      </c>
      <c r="E119" t="s">
        <v>16</v>
      </c>
      <c r="H119">
        <v>520</v>
      </c>
    </row>
    <row r="120" spans="1:8">
      <c r="A120" s="2">
        <v>46047</v>
      </c>
      <c r="B120" s="3">
        <v>0.80506944444444439</v>
      </c>
      <c r="C120" t="s">
        <v>8</v>
      </c>
      <c r="D120" t="s">
        <v>186</v>
      </c>
      <c r="E120" t="s">
        <v>10</v>
      </c>
      <c r="H120">
        <v>1340</v>
      </c>
    </row>
    <row r="121" spans="1:8">
      <c r="A121" s="2">
        <v>46047</v>
      </c>
      <c r="B121" s="3">
        <v>0.80758101851851849</v>
      </c>
      <c r="C121" t="s">
        <v>11</v>
      </c>
      <c r="D121" t="s">
        <v>187</v>
      </c>
      <c r="E121" t="s">
        <v>13</v>
      </c>
      <c r="H121">
        <v>-190</v>
      </c>
    </row>
    <row r="122" spans="1:8">
      <c r="A122" s="2">
        <v>46047</v>
      </c>
      <c r="B122" s="3">
        <v>0.81010416666666663</v>
      </c>
      <c r="C122" t="s">
        <v>14</v>
      </c>
      <c r="D122" t="s">
        <v>188</v>
      </c>
      <c r="E122" t="s">
        <v>16</v>
      </c>
      <c r="F122" t="s">
        <v>189</v>
      </c>
      <c r="G122" t="s">
        <v>190</v>
      </c>
      <c r="H122">
        <v>2650</v>
      </c>
    </row>
    <row r="123" spans="1:8">
      <c r="A123" s="2">
        <v>46047</v>
      </c>
      <c r="B123" s="3">
        <v>0.81258101851851849</v>
      </c>
      <c r="C123" t="s">
        <v>8</v>
      </c>
      <c r="D123" t="s">
        <v>191</v>
      </c>
      <c r="E123" t="s">
        <v>10</v>
      </c>
      <c r="H123">
        <v>310</v>
      </c>
    </row>
    <row r="124" spans="1:8">
      <c r="A124" s="2">
        <v>46047</v>
      </c>
      <c r="B124" s="3">
        <v>0.81515046296296301</v>
      </c>
      <c r="C124" t="s">
        <v>11</v>
      </c>
      <c r="D124" t="s">
        <v>192</v>
      </c>
      <c r="E124" t="s">
        <v>13</v>
      </c>
      <c r="H124">
        <v>720</v>
      </c>
    </row>
    <row r="125" spans="1:8">
      <c r="A125" s="2">
        <v>46047</v>
      </c>
      <c r="B125" s="3">
        <v>0.81766203703703699</v>
      </c>
      <c r="C125" t="s">
        <v>14</v>
      </c>
      <c r="D125" t="s">
        <v>193</v>
      </c>
      <c r="E125" t="s">
        <v>16</v>
      </c>
      <c r="H125">
        <v>480</v>
      </c>
    </row>
    <row r="126" spans="1:8">
      <c r="A126" s="2">
        <v>46047</v>
      </c>
      <c r="B126" s="3">
        <v>0.82016203703703705</v>
      </c>
      <c r="C126" t="s">
        <v>8</v>
      </c>
      <c r="D126" t="s">
        <v>194</v>
      </c>
      <c r="E126" t="s">
        <v>10</v>
      </c>
      <c r="F126" t="s">
        <v>195</v>
      </c>
      <c r="G126" t="s">
        <v>196</v>
      </c>
      <c r="H126">
        <v>1780</v>
      </c>
    </row>
    <row r="127" spans="1:8">
      <c r="A127" s="2">
        <v>46047</v>
      </c>
      <c r="B127" s="3">
        <v>0.822662037037037</v>
      </c>
      <c r="C127" t="s">
        <v>11</v>
      </c>
      <c r="D127" t="s">
        <v>197</v>
      </c>
      <c r="E127" t="s">
        <v>13</v>
      </c>
      <c r="H127">
        <v>260</v>
      </c>
    </row>
    <row r="128" spans="1:8">
      <c r="A128" s="2">
        <v>46047</v>
      </c>
      <c r="B128" s="3">
        <v>0.82516203703703705</v>
      </c>
      <c r="C128" t="s">
        <v>14</v>
      </c>
      <c r="D128" t="s">
        <v>198</v>
      </c>
      <c r="E128" t="s">
        <v>16</v>
      </c>
      <c r="H128">
        <v>910</v>
      </c>
    </row>
    <row r="129" spans="1:8">
      <c r="A129" s="2">
        <v>46047</v>
      </c>
      <c r="B129" s="3">
        <v>0.82765046296296296</v>
      </c>
      <c r="C129" t="s">
        <v>8</v>
      </c>
      <c r="D129" t="s">
        <v>199</v>
      </c>
      <c r="E129" t="s">
        <v>10</v>
      </c>
      <c r="H129">
        <v>-320</v>
      </c>
    </row>
    <row r="130" spans="1:8">
      <c r="A130" s="2">
        <v>46047</v>
      </c>
      <c r="B130" s="3">
        <v>0.8301736111111111</v>
      </c>
      <c r="C130" t="s">
        <v>11</v>
      </c>
      <c r="D130" t="s">
        <v>200</v>
      </c>
      <c r="E130" t="s">
        <v>13</v>
      </c>
      <c r="F130" t="s">
        <v>201</v>
      </c>
      <c r="G130" t="s">
        <v>202</v>
      </c>
      <c r="H130">
        <v>2420</v>
      </c>
    </row>
    <row r="131" spans="1:8">
      <c r="A131" s="2">
        <v>46047</v>
      </c>
      <c r="B131" s="3">
        <v>0.83267361111111116</v>
      </c>
      <c r="C131" t="s">
        <v>14</v>
      </c>
      <c r="D131" t="s">
        <v>203</v>
      </c>
      <c r="E131" t="s">
        <v>16</v>
      </c>
      <c r="H131">
        <v>390</v>
      </c>
    </row>
    <row r="132" spans="1:8">
      <c r="A132" s="2">
        <v>46047</v>
      </c>
      <c r="B132" s="3">
        <v>0.83519675925925929</v>
      </c>
      <c r="C132" t="s">
        <v>8</v>
      </c>
      <c r="D132" t="s">
        <v>204</v>
      </c>
      <c r="E132" t="s">
        <v>10</v>
      </c>
      <c r="H132">
        <v>680</v>
      </c>
    </row>
    <row r="133" spans="1:8">
      <c r="A133" s="2">
        <v>46047</v>
      </c>
      <c r="B133" s="3">
        <v>0.83770833333333339</v>
      </c>
      <c r="C133" t="s">
        <v>11</v>
      </c>
      <c r="D133" t="s">
        <v>205</v>
      </c>
      <c r="E133" t="s">
        <v>13</v>
      </c>
      <c r="H133">
        <v>230</v>
      </c>
    </row>
    <row r="134" spans="1:8">
      <c r="A134" s="2">
        <v>46047</v>
      </c>
      <c r="B134" s="3">
        <v>0.84021990740740737</v>
      </c>
      <c r="C134" t="s">
        <v>14</v>
      </c>
      <c r="D134" t="s">
        <v>206</v>
      </c>
      <c r="E134" t="s">
        <v>16</v>
      </c>
      <c r="F134" t="s">
        <v>207</v>
      </c>
      <c r="G134" t="s">
        <v>208</v>
      </c>
      <c r="H134">
        <v>3150</v>
      </c>
    </row>
    <row r="135" spans="1:8">
      <c r="A135" s="2">
        <v>46047</v>
      </c>
      <c r="B135" s="3">
        <v>0.84269675925925924</v>
      </c>
      <c r="C135" t="s">
        <v>8</v>
      </c>
      <c r="D135" t="s">
        <v>209</v>
      </c>
      <c r="E135" t="s">
        <v>10</v>
      </c>
      <c r="H135">
        <v>170</v>
      </c>
    </row>
    <row r="136" spans="1:8">
      <c r="A136" s="2">
        <v>46047</v>
      </c>
      <c r="B136" s="3">
        <v>0.84520833333333334</v>
      </c>
      <c r="C136" t="s">
        <v>11</v>
      </c>
      <c r="D136" t="s">
        <v>210</v>
      </c>
      <c r="E136" t="s">
        <v>13</v>
      </c>
      <c r="H136">
        <v>540</v>
      </c>
    </row>
    <row r="137" spans="1:8">
      <c r="A137" s="2">
        <v>46047</v>
      </c>
      <c r="B137" s="3">
        <v>0.84773148148148147</v>
      </c>
      <c r="C137" t="s">
        <v>14</v>
      </c>
      <c r="D137" t="s">
        <v>211</v>
      </c>
      <c r="E137" t="s">
        <v>16</v>
      </c>
      <c r="H137">
        <v>860</v>
      </c>
    </row>
    <row r="138" spans="1:8">
      <c r="A138" s="2">
        <v>46047</v>
      </c>
      <c r="B138" s="3">
        <v>0.85024305555555557</v>
      </c>
      <c r="C138" t="s">
        <v>8</v>
      </c>
      <c r="D138" t="s">
        <v>212</v>
      </c>
      <c r="E138" t="s">
        <v>10</v>
      </c>
      <c r="F138" t="s">
        <v>213</v>
      </c>
      <c r="G138" t="s">
        <v>214</v>
      </c>
      <c r="H138">
        <v>2210</v>
      </c>
    </row>
    <row r="139" spans="1:8">
      <c r="A139" s="2">
        <v>46047</v>
      </c>
      <c r="B139" s="3">
        <v>0.85276620370370371</v>
      </c>
      <c r="C139" t="s">
        <v>11</v>
      </c>
      <c r="D139" t="s">
        <v>215</v>
      </c>
      <c r="E139" t="s">
        <v>13</v>
      </c>
      <c r="H139">
        <v>290</v>
      </c>
    </row>
    <row r="140" spans="1:8">
      <c r="A140" s="2">
        <v>46047</v>
      </c>
      <c r="B140" s="3">
        <v>0.8552777777777778</v>
      </c>
      <c r="C140" t="s">
        <v>14</v>
      </c>
      <c r="D140" t="s">
        <v>216</v>
      </c>
      <c r="E140" t="s">
        <v>16</v>
      </c>
      <c r="H140">
        <v>730</v>
      </c>
    </row>
    <row r="141" spans="1:8">
      <c r="A141" s="2">
        <v>46047</v>
      </c>
      <c r="B141" s="3">
        <v>0.85777777777777775</v>
      </c>
      <c r="C141" t="s">
        <v>8</v>
      </c>
      <c r="D141" t="s">
        <v>217</v>
      </c>
      <c r="E141" t="s">
        <v>10</v>
      </c>
      <c r="H141">
        <v>410</v>
      </c>
    </row>
    <row r="142" spans="1:8">
      <c r="A142" s="2">
        <v>46047</v>
      </c>
      <c r="B142" s="3">
        <v>0.86027777777777781</v>
      </c>
      <c r="C142" t="s">
        <v>11</v>
      </c>
      <c r="D142" t="s">
        <v>218</v>
      </c>
      <c r="E142" t="s">
        <v>13</v>
      </c>
      <c r="H142">
        <v>-150</v>
      </c>
    </row>
    <row r="143" spans="1:8">
      <c r="A143" s="2">
        <v>46047</v>
      </c>
      <c r="B143" s="3">
        <v>0.8627893518518519</v>
      </c>
      <c r="C143" t="s">
        <v>14</v>
      </c>
      <c r="D143" t="s">
        <v>219</v>
      </c>
      <c r="E143" t="s">
        <v>16</v>
      </c>
      <c r="F143" t="s">
        <v>220</v>
      </c>
      <c r="G143" t="s">
        <v>221</v>
      </c>
      <c r="H143">
        <v>2680</v>
      </c>
    </row>
    <row r="144" spans="1:8">
      <c r="A144" s="2">
        <v>46047</v>
      </c>
      <c r="B144" s="3">
        <v>0.86528935185185185</v>
      </c>
      <c r="C144" t="s">
        <v>8</v>
      </c>
      <c r="D144" t="s">
        <v>222</v>
      </c>
      <c r="E144" t="s">
        <v>10</v>
      </c>
      <c r="H144">
        <v>520</v>
      </c>
    </row>
    <row r="145" spans="1:8">
      <c r="A145" s="2">
        <v>46047</v>
      </c>
      <c r="B145" s="3">
        <v>0.86761574074074077</v>
      </c>
      <c r="C145" t="s">
        <v>11</v>
      </c>
      <c r="D145" t="s">
        <v>223</v>
      </c>
      <c r="E145" t="s">
        <v>13</v>
      </c>
      <c r="H145">
        <v>360</v>
      </c>
    </row>
    <row r="146" spans="1:8">
      <c r="A146" s="2">
        <v>46047</v>
      </c>
      <c r="B146" s="3">
        <v>0.8699189814814815</v>
      </c>
      <c r="C146" t="s">
        <v>14</v>
      </c>
      <c r="D146" t="s">
        <v>224</v>
      </c>
      <c r="E146" t="s">
        <v>16</v>
      </c>
      <c r="H146">
        <v>980</v>
      </c>
    </row>
    <row r="147" spans="1:8">
      <c r="A147" s="2">
        <v>46047</v>
      </c>
      <c r="B147" s="3">
        <v>0.87228009259259254</v>
      </c>
      <c r="C147" t="s">
        <v>8</v>
      </c>
      <c r="D147" t="s">
        <v>225</v>
      </c>
      <c r="E147" t="s">
        <v>10</v>
      </c>
      <c r="F147" t="s">
        <v>226</v>
      </c>
      <c r="G147" t="s">
        <v>227</v>
      </c>
      <c r="H147">
        <v>2140</v>
      </c>
    </row>
    <row r="148" spans="1:8">
      <c r="A148" s="2">
        <v>46047</v>
      </c>
      <c r="B148" s="3">
        <v>0.87451388888888892</v>
      </c>
      <c r="C148" t="s">
        <v>11</v>
      </c>
      <c r="D148" t="s">
        <v>228</v>
      </c>
      <c r="E148" t="s">
        <v>13</v>
      </c>
      <c r="H148">
        <v>240</v>
      </c>
    </row>
    <row r="149" spans="1:8">
      <c r="A149" s="2">
        <v>46047</v>
      </c>
      <c r="B149" s="3">
        <v>0.87689814814814815</v>
      </c>
      <c r="C149" t="s">
        <v>14</v>
      </c>
      <c r="D149" t="s">
        <v>229</v>
      </c>
      <c r="E149" t="s">
        <v>16</v>
      </c>
      <c r="H149">
        <v>760</v>
      </c>
    </row>
    <row r="150" spans="1:8">
      <c r="A150" s="2">
        <v>46047</v>
      </c>
      <c r="B150" s="3">
        <v>0.87927083333333333</v>
      </c>
      <c r="C150" t="s">
        <v>8</v>
      </c>
      <c r="D150" t="s">
        <v>230</v>
      </c>
      <c r="E150" t="s">
        <v>10</v>
      </c>
      <c r="H150">
        <v>150</v>
      </c>
    </row>
    <row r="151" spans="1:8">
      <c r="A151" s="2">
        <v>46047</v>
      </c>
      <c r="B151" s="3">
        <v>0.88160879629629629</v>
      </c>
      <c r="C151" t="s">
        <v>11</v>
      </c>
      <c r="D151" t="s">
        <v>231</v>
      </c>
      <c r="E151" t="s">
        <v>13</v>
      </c>
      <c r="F151" t="s">
        <v>232</v>
      </c>
      <c r="G151" t="s">
        <v>233</v>
      </c>
      <c r="H151">
        <v>1890</v>
      </c>
    </row>
    <row r="152" spans="1:8">
      <c r="A152" s="2">
        <v>46047</v>
      </c>
      <c r="B152" s="3">
        <v>0.88398148148148148</v>
      </c>
      <c r="C152" t="s">
        <v>14</v>
      </c>
      <c r="D152" t="s">
        <v>234</v>
      </c>
      <c r="E152" t="s">
        <v>16</v>
      </c>
      <c r="H152">
        <v>420</v>
      </c>
    </row>
    <row r="153" spans="1:8">
      <c r="A153" s="2">
        <v>46047</v>
      </c>
      <c r="B153" s="3">
        <v>0.88631944444444444</v>
      </c>
      <c r="C153" t="s">
        <v>8</v>
      </c>
      <c r="D153" t="s">
        <v>235</v>
      </c>
      <c r="E153" t="s">
        <v>10</v>
      </c>
      <c r="H153">
        <v>560</v>
      </c>
    </row>
    <row r="154" spans="1:8">
      <c r="A154" s="2">
        <v>46047</v>
      </c>
      <c r="B154" s="3">
        <v>0.88868055555555558</v>
      </c>
      <c r="C154" t="s">
        <v>11</v>
      </c>
      <c r="D154" t="s">
        <v>236</v>
      </c>
      <c r="E154" t="s">
        <v>13</v>
      </c>
      <c r="H154">
        <v>-220</v>
      </c>
    </row>
    <row r="155" spans="1:8">
      <c r="A155" s="2">
        <v>46047</v>
      </c>
      <c r="B155" s="3">
        <v>0.89105324074074077</v>
      </c>
      <c r="C155" t="s">
        <v>14</v>
      </c>
      <c r="D155" t="s">
        <v>237</v>
      </c>
      <c r="E155" t="s">
        <v>16</v>
      </c>
      <c r="H155">
        <v>830</v>
      </c>
    </row>
    <row r="156" spans="1:8">
      <c r="A156" s="2">
        <v>46047</v>
      </c>
      <c r="B156" s="3">
        <v>0.8934375</v>
      </c>
      <c r="C156" t="s">
        <v>8</v>
      </c>
      <c r="D156" t="s">
        <v>238</v>
      </c>
      <c r="E156" t="s">
        <v>10</v>
      </c>
      <c r="F156" t="s">
        <v>239</v>
      </c>
      <c r="G156" t="s">
        <v>240</v>
      </c>
      <c r="H156">
        <v>2750</v>
      </c>
    </row>
    <row r="157" spans="1:8">
      <c r="A157" s="2">
        <v>46047</v>
      </c>
      <c r="B157" s="3">
        <v>0.89581018518518518</v>
      </c>
      <c r="C157" t="s">
        <v>11</v>
      </c>
      <c r="D157" t="s">
        <v>241</v>
      </c>
      <c r="E157" t="s">
        <v>13</v>
      </c>
      <c r="H157">
        <v>310</v>
      </c>
    </row>
    <row r="158" spans="1:8">
      <c r="A158" s="2">
        <v>46047</v>
      </c>
      <c r="B158" s="3">
        <v>0.89819444444444441</v>
      </c>
      <c r="C158" t="s">
        <v>14</v>
      </c>
      <c r="D158" t="s">
        <v>242</v>
      </c>
      <c r="E158" t="s">
        <v>16</v>
      </c>
      <c r="H158">
        <v>640</v>
      </c>
    </row>
    <row r="159" spans="1:8">
      <c r="A159" s="2">
        <v>46047</v>
      </c>
      <c r="B159" s="3">
        <v>0.90059027777777778</v>
      </c>
      <c r="C159" t="s">
        <v>8</v>
      </c>
      <c r="D159" t="s">
        <v>243</v>
      </c>
      <c r="E159" t="s">
        <v>10</v>
      </c>
      <c r="H159">
        <v>980</v>
      </c>
    </row>
    <row r="160" spans="1:8">
      <c r="A160" s="2">
        <v>46047</v>
      </c>
      <c r="B160" s="3">
        <v>0.90296296296296297</v>
      </c>
      <c r="C160" t="s">
        <v>11</v>
      </c>
      <c r="D160" t="s">
        <v>244</v>
      </c>
      <c r="E160" t="s">
        <v>13</v>
      </c>
      <c r="F160" t="s">
        <v>245</v>
      </c>
      <c r="G160" t="s">
        <v>246</v>
      </c>
      <c r="H160">
        <v>1620</v>
      </c>
    </row>
    <row r="161" spans="1:8">
      <c r="A161" s="2">
        <v>46047</v>
      </c>
      <c r="B161" s="3">
        <v>0.90531249999999996</v>
      </c>
      <c r="C161" t="s">
        <v>14</v>
      </c>
      <c r="D161" t="s">
        <v>247</v>
      </c>
      <c r="E161" t="s">
        <v>16</v>
      </c>
      <c r="H161">
        <v>270</v>
      </c>
    </row>
    <row r="162" spans="1:8">
      <c r="A162" s="2">
        <v>46047</v>
      </c>
      <c r="B162" s="3">
        <v>0.9076967592592593</v>
      </c>
      <c r="C162" t="s">
        <v>8</v>
      </c>
      <c r="D162" t="s">
        <v>248</v>
      </c>
      <c r="E162" t="s">
        <v>10</v>
      </c>
      <c r="H162">
        <v>1340</v>
      </c>
    </row>
    <row r="163" spans="1:8">
      <c r="A163" s="2">
        <v>46047</v>
      </c>
      <c r="B163" s="3">
        <v>0.9100462962962963</v>
      </c>
      <c r="C163" t="s">
        <v>11</v>
      </c>
      <c r="D163" t="s">
        <v>249</v>
      </c>
      <c r="E163" t="s">
        <v>13</v>
      </c>
      <c r="H163">
        <v>490</v>
      </c>
    </row>
    <row r="164" spans="1:8">
      <c r="A164" s="2">
        <v>46047</v>
      </c>
      <c r="B164" s="3">
        <v>0.91243055555555552</v>
      </c>
      <c r="C164" t="s">
        <v>14</v>
      </c>
      <c r="D164" t="s">
        <v>250</v>
      </c>
      <c r="E164" t="s">
        <v>16</v>
      </c>
      <c r="F164" t="s">
        <v>251</v>
      </c>
      <c r="G164" t="s">
        <v>252</v>
      </c>
      <c r="H164">
        <v>3050</v>
      </c>
    </row>
    <row r="165" spans="1:8">
      <c r="A165" s="2">
        <v>46047</v>
      </c>
      <c r="B165" s="3">
        <v>0.91480324074074071</v>
      </c>
      <c r="C165" t="s">
        <v>8</v>
      </c>
      <c r="D165" t="s">
        <v>253</v>
      </c>
      <c r="E165" t="s">
        <v>10</v>
      </c>
      <c r="H165">
        <v>220</v>
      </c>
    </row>
    <row r="166" spans="1:8">
      <c r="A166" s="2">
        <v>46047</v>
      </c>
      <c r="B166" s="3">
        <v>0.91717592592592589</v>
      </c>
      <c r="C166" t="s">
        <v>11</v>
      </c>
      <c r="D166" t="s">
        <v>254</v>
      </c>
      <c r="E166" t="s">
        <v>13</v>
      </c>
      <c r="H166">
        <v>870</v>
      </c>
    </row>
    <row r="167" spans="1:8">
      <c r="A167" s="2">
        <v>46047</v>
      </c>
      <c r="B167" s="3">
        <v>0.91942129629629632</v>
      </c>
      <c r="C167" t="s">
        <v>14</v>
      </c>
      <c r="D167" t="s">
        <v>255</v>
      </c>
      <c r="E167" t="s">
        <v>16</v>
      </c>
      <c r="H167">
        <v>410</v>
      </c>
    </row>
    <row r="168" spans="1:8">
      <c r="A168" s="2">
        <v>46047</v>
      </c>
      <c r="B168" s="3">
        <v>0.92182870370370373</v>
      </c>
      <c r="C168" t="s">
        <v>8</v>
      </c>
      <c r="D168" t="s">
        <v>256</v>
      </c>
      <c r="E168" t="s">
        <v>10</v>
      </c>
      <c r="F168" t="s">
        <v>257</v>
      </c>
      <c r="G168" t="s">
        <v>258</v>
      </c>
      <c r="H168">
        <v>2480</v>
      </c>
    </row>
    <row r="169" spans="1:8">
      <c r="A169" s="2">
        <v>46047</v>
      </c>
      <c r="B169" s="3">
        <v>0.92420138888888892</v>
      </c>
      <c r="C169" t="s">
        <v>11</v>
      </c>
      <c r="D169" t="s">
        <v>259</v>
      </c>
      <c r="E169" t="s">
        <v>13</v>
      </c>
      <c r="H169">
        <v>-180</v>
      </c>
    </row>
    <row r="170" spans="1:8">
      <c r="A170" s="2">
        <v>46047</v>
      </c>
      <c r="B170" s="3">
        <v>0.92658564814814814</v>
      </c>
      <c r="C170" t="s">
        <v>14</v>
      </c>
      <c r="D170" t="s">
        <v>260</v>
      </c>
      <c r="E170" t="s">
        <v>16</v>
      </c>
      <c r="H170">
        <v>690</v>
      </c>
    </row>
    <row r="171" spans="1:8">
      <c r="A171" s="2">
        <v>46047</v>
      </c>
      <c r="B171" s="3">
        <v>0.92895833333333333</v>
      </c>
      <c r="C171" t="s">
        <v>8</v>
      </c>
      <c r="D171" t="s">
        <v>261</v>
      </c>
      <c r="E171" t="s">
        <v>10</v>
      </c>
      <c r="H171">
        <v>360</v>
      </c>
    </row>
    <row r="172" spans="1:8">
      <c r="A172" s="2">
        <v>46047</v>
      </c>
      <c r="B172" s="3">
        <v>0.93131944444444448</v>
      </c>
      <c r="C172" t="s">
        <v>11</v>
      </c>
      <c r="D172" t="s">
        <v>262</v>
      </c>
      <c r="E172" t="s">
        <v>13</v>
      </c>
      <c r="F172" t="s">
        <v>263</v>
      </c>
      <c r="G172" t="s">
        <v>264</v>
      </c>
      <c r="H172">
        <v>1920</v>
      </c>
    </row>
    <row r="173" spans="1:8">
      <c r="A173" s="2">
        <v>46047</v>
      </c>
      <c r="B173" s="3">
        <v>0.93319444444444444</v>
      </c>
      <c r="C173" t="s">
        <v>14</v>
      </c>
      <c r="D173" t="s">
        <v>265</v>
      </c>
      <c r="E173" t="s">
        <v>16</v>
      </c>
      <c r="H173">
        <v>540</v>
      </c>
    </row>
    <row r="174" spans="1:8">
      <c r="A174" s="2">
        <v>46047</v>
      </c>
      <c r="B174" s="3">
        <v>0.93398148148148152</v>
      </c>
      <c r="C174" t="s">
        <v>8</v>
      </c>
      <c r="D174" t="s">
        <v>266</v>
      </c>
      <c r="E174" t="s">
        <v>10</v>
      </c>
      <c r="H174">
        <v>260</v>
      </c>
    </row>
    <row r="175" spans="1:8">
      <c r="A175" s="2">
        <v>46047</v>
      </c>
      <c r="B175" s="3">
        <v>0.93442129629629633</v>
      </c>
      <c r="C175" t="s">
        <v>11</v>
      </c>
      <c r="D175" t="s">
        <v>267</v>
      </c>
      <c r="E175" t="s">
        <v>13</v>
      </c>
      <c r="H175">
        <v>720</v>
      </c>
    </row>
    <row r="176" spans="1:8">
      <c r="A176" s="2">
        <v>46047</v>
      </c>
      <c r="B176" s="3">
        <v>0.93475694444444446</v>
      </c>
      <c r="C176" t="s">
        <v>14</v>
      </c>
      <c r="D176" t="s">
        <v>268</v>
      </c>
      <c r="E176" t="s">
        <v>16</v>
      </c>
      <c r="F176" t="s">
        <v>269</v>
      </c>
      <c r="G176" t="s">
        <v>270</v>
      </c>
      <c r="H176">
        <v>3580</v>
      </c>
    </row>
    <row r="177" spans="1:8">
      <c r="A177" s="2">
        <v>46047</v>
      </c>
      <c r="B177" s="3">
        <v>0.93503472222222217</v>
      </c>
      <c r="C177" t="s">
        <v>8</v>
      </c>
      <c r="D177" t="s">
        <v>271</v>
      </c>
      <c r="E177" t="s">
        <v>10</v>
      </c>
      <c r="H177">
        <v>110</v>
      </c>
    </row>
    <row r="178" spans="1:8">
      <c r="A178" s="2">
        <v>46047</v>
      </c>
      <c r="B178" s="3">
        <v>0.93531249999999999</v>
      </c>
      <c r="C178" t="s">
        <v>11</v>
      </c>
      <c r="D178" t="s">
        <v>272</v>
      </c>
      <c r="E178" t="s">
        <v>13</v>
      </c>
      <c r="H178">
        <v>430</v>
      </c>
    </row>
    <row r="179" spans="1:8">
      <c r="A179" s="2">
        <v>46047</v>
      </c>
      <c r="B179" s="3">
        <v>0.93557870370370366</v>
      </c>
      <c r="C179" t="s">
        <v>14</v>
      </c>
      <c r="D179" t="s">
        <v>273</v>
      </c>
      <c r="E179" t="s">
        <v>16</v>
      </c>
      <c r="H179">
        <v>880</v>
      </c>
    </row>
    <row r="180" spans="1:8">
      <c r="A180" s="2">
        <v>46047</v>
      </c>
      <c r="B180" s="3">
        <v>0.93585648148148148</v>
      </c>
      <c r="C180" t="s">
        <v>8</v>
      </c>
      <c r="D180" t="s">
        <v>274</v>
      </c>
      <c r="E180" t="s">
        <v>10</v>
      </c>
      <c r="F180" t="s">
        <v>275</v>
      </c>
      <c r="G180" t="s">
        <v>276</v>
      </c>
      <c r="H180">
        <v>1650</v>
      </c>
    </row>
    <row r="181" spans="1:8">
      <c r="A181" s="2">
        <v>46047</v>
      </c>
      <c r="B181" s="3">
        <v>0.93609953703703708</v>
      </c>
      <c r="C181" t="s">
        <v>11</v>
      </c>
      <c r="D181" t="s">
        <v>277</v>
      </c>
      <c r="E181" t="s">
        <v>13</v>
      </c>
      <c r="H181">
        <v>290</v>
      </c>
    </row>
    <row r="182" spans="1:8">
      <c r="A182" s="2">
        <v>46047</v>
      </c>
      <c r="B182" s="3">
        <v>0.93635416666666671</v>
      </c>
      <c r="C182" t="s">
        <v>14</v>
      </c>
      <c r="D182" t="s">
        <v>278</v>
      </c>
      <c r="E182" t="s">
        <v>16</v>
      </c>
      <c r="H182">
        <v>-140</v>
      </c>
    </row>
    <row r="183" spans="1:8">
      <c r="A183" s="2">
        <v>46047</v>
      </c>
      <c r="B183" s="3">
        <v>0.93660879629629634</v>
      </c>
      <c r="C183" t="s">
        <v>8</v>
      </c>
      <c r="D183" t="s">
        <v>279</v>
      </c>
      <c r="E183" t="s">
        <v>10</v>
      </c>
      <c r="H183">
        <v>510</v>
      </c>
    </row>
    <row r="184" spans="1:8">
      <c r="A184" s="2">
        <v>46047</v>
      </c>
      <c r="B184" s="3">
        <v>0.93686342592592597</v>
      </c>
      <c r="C184" t="s">
        <v>11</v>
      </c>
      <c r="D184" t="s">
        <v>280</v>
      </c>
      <c r="E184" t="s">
        <v>13</v>
      </c>
      <c r="F184" t="s">
        <v>281</v>
      </c>
      <c r="G184" t="s">
        <v>282</v>
      </c>
      <c r="H184">
        <v>2240</v>
      </c>
    </row>
    <row r="185" spans="1:8">
      <c r="A185" s="2">
        <v>46047</v>
      </c>
      <c r="B185" s="3">
        <v>0.93710648148148146</v>
      </c>
      <c r="C185" t="s">
        <v>14</v>
      </c>
      <c r="D185" t="s">
        <v>283</v>
      </c>
      <c r="E185" t="s">
        <v>16</v>
      </c>
      <c r="H185">
        <v>370</v>
      </c>
    </row>
    <row r="186" spans="1:8">
      <c r="A186" s="2">
        <v>46047</v>
      </c>
      <c r="B186" s="3">
        <v>0.93736111111111109</v>
      </c>
      <c r="C186" t="s">
        <v>8</v>
      </c>
      <c r="D186" t="s">
        <v>284</v>
      </c>
      <c r="E186" t="s">
        <v>10</v>
      </c>
      <c r="H186">
        <v>960</v>
      </c>
    </row>
    <row r="187" spans="1:8">
      <c r="A187" s="2">
        <v>46047</v>
      </c>
      <c r="B187" s="3">
        <v>0.93755787037037042</v>
      </c>
      <c r="C187" t="s">
        <v>11</v>
      </c>
      <c r="D187" t="s">
        <v>285</v>
      </c>
      <c r="E187" t="s">
        <v>13</v>
      </c>
      <c r="H187">
        <v>180</v>
      </c>
    </row>
    <row r="188" spans="1:8">
      <c r="A188" s="2">
        <v>46047</v>
      </c>
      <c r="B188" s="3">
        <v>0.93770833333333337</v>
      </c>
      <c r="C188" t="s">
        <v>14</v>
      </c>
      <c r="D188" t="s">
        <v>286</v>
      </c>
      <c r="E188" t="s">
        <v>16</v>
      </c>
      <c r="F188" t="s">
        <v>287</v>
      </c>
      <c r="G188" t="s">
        <v>288</v>
      </c>
      <c r="H188">
        <v>2890</v>
      </c>
    </row>
    <row r="189" spans="1:8">
      <c r="A189" s="2">
        <v>46047</v>
      </c>
      <c r="B189" s="3">
        <v>0.9378009259259259</v>
      </c>
      <c r="C189" t="s">
        <v>8</v>
      </c>
      <c r="D189" t="s">
        <v>289</v>
      </c>
      <c r="E189" t="s">
        <v>10</v>
      </c>
      <c r="H189">
        <v>420</v>
      </c>
    </row>
    <row r="190" spans="1:8">
      <c r="A190" s="2">
        <v>46047</v>
      </c>
      <c r="B190" s="3">
        <v>0.93783564814814813</v>
      </c>
      <c r="C190" t="s">
        <v>11</v>
      </c>
      <c r="D190" t="s">
        <v>290</v>
      </c>
      <c r="E190" t="s">
        <v>13</v>
      </c>
      <c r="H190">
        <v>650</v>
      </c>
    </row>
    <row r="191" spans="1:8">
      <c r="A191" s="2">
        <v>46047</v>
      </c>
      <c r="B191" s="3">
        <v>0.9375</v>
      </c>
      <c r="C191" t="s">
        <v>14</v>
      </c>
      <c r="D191" t="s">
        <v>291</v>
      </c>
      <c r="E191" t="s">
        <v>16</v>
      </c>
      <c r="H191">
        <v>380</v>
      </c>
    </row>
    <row r="192" spans="1:8">
      <c r="A192" s="2">
        <v>46047</v>
      </c>
      <c r="B192" s="3">
        <v>0.93729166666666663</v>
      </c>
      <c r="C192" t="s">
        <v>8</v>
      </c>
      <c r="D192" t="s">
        <v>292</v>
      </c>
      <c r="E192" t="s">
        <v>10</v>
      </c>
      <c r="F192" t="s">
        <v>293</v>
      </c>
      <c r="G192" t="s">
        <v>294</v>
      </c>
      <c r="H192">
        <v>1760</v>
      </c>
    </row>
    <row r="193" spans="1:8">
      <c r="A193" s="2">
        <v>46047</v>
      </c>
      <c r="B193" s="3">
        <v>0.93701388888888892</v>
      </c>
      <c r="C193" t="s">
        <v>11</v>
      </c>
      <c r="D193" t="s">
        <v>295</v>
      </c>
      <c r="E193" t="s">
        <v>13</v>
      </c>
      <c r="H193">
        <v>240</v>
      </c>
    </row>
    <row r="194" spans="1:8">
      <c r="A194" s="2">
        <v>46047</v>
      </c>
      <c r="B194" s="3">
        <v>0.93674768518518514</v>
      </c>
      <c r="C194" t="s">
        <v>14</v>
      </c>
      <c r="D194" t="s">
        <v>296</v>
      </c>
      <c r="E194" t="s">
        <v>16</v>
      </c>
      <c r="H194">
        <v>690</v>
      </c>
    </row>
    <row r="195" spans="1:8">
      <c r="A195" s="2">
        <v>46047</v>
      </c>
      <c r="B195" s="3">
        <v>0.93646990740740743</v>
      </c>
      <c r="C195" t="s">
        <v>8</v>
      </c>
      <c r="D195" t="s">
        <v>297</v>
      </c>
      <c r="E195" t="s">
        <v>10</v>
      </c>
      <c r="H195">
        <v>120</v>
      </c>
    </row>
    <row r="196" spans="1:8">
      <c r="A196" s="2">
        <v>46047</v>
      </c>
      <c r="B196" s="3">
        <v>0.93618055555555557</v>
      </c>
      <c r="C196" t="s">
        <v>11</v>
      </c>
      <c r="D196" t="s">
        <v>298</v>
      </c>
      <c r="E196" t="s">
        <v>13</v>
      </c>
      <c r="F196" t="s">
        <v>299</v>
      </c>
      <c r="G196" t="s">
        <v>300</v>
      </c>
      <c r="H196">
        <v>2480</v>
      </c>
    </row>
    <row r="197" spans="1:8">
      <c r="A197" s="2">
        <v>46047</v>
      </c>
      <c r="B197" s="3">
        <v>0.93592592592592594</v>
      </c>
      <c r="C197" t="s">
        <v>14</v>
      </c>
      <c r="D197" t="s">
        <v>301</v>
      </c>
      <c r="E197" t="s">
        <v>16</v>
      </c>
      <c r="H197">
        <v>510</v>
      </c>
    </row>
    <row r="198" spans="1:8">
      <c r="A198" s="2">
        <v>46047</v>
      </c>
      <c r="B198" s="3">
        <v>0.93563657407407408</v>
      </c>
      <c r="C198" t="s">
        <v>8</v>
      </c>
      <c r="D198" t="s">
        <v>302</v>
      </c>
      <c r="E198" t="s">
        <v>10</v>
      </c>
      <c r="H198">
        <v>830</v>
      </c>
    </row>
    <row r="199" spans="1:8">
      <c r="A199" s="2">
        <v>46047</v>
      </c>
      <c r="B199" s="3">
        <v>0.93533564814814818</v>
      </c>
      <c r="C199" t="s">
        <v>11</v>
      </c>
      <c r="D199" t="s">
        <v>303</v>
      </c>
      <c r="E199" t="s">
        <v>13</v>
      </c>
      <c r="H199">
        <v>290</v>
      </c>
    </row>
    <row r="200" spans="1:8">
      <c r="A200" s="2">
        <v>46047</v>
      </c>
      <c r="B200" s="3">
        <v>0.93505787037037036</v>
      </c>
      <c r="C200" t="s">
        <v>14</v>
      </c>
      <c r="D200" t="s">
        <v>304</v>
      </c>
      <c r="E200" t="s">
        <v>16</v>
      </c>
      <c r="H200">
        <v>-160</v>
      </c>
    </row>
    <row r="201" spans="1:8">
      <c r="A201" s="2">
        <v>46047</v>
      </c>
      <c r="B201" s="3">
        <v>0.9347685185185185</v>
      </c>
      <c r="C201" t="s">
        <v>8</v>
      </c>
      <c r="D201" t="s">
        <v>305</v>
      </c>
      <c r="E201" t="s">
        <v>10</v>
      </c>
      <c r="F201" t="s">
        <v>306</v>
      </c>
      <c r="G201" t="s">
        <v>307</v>
      </c>
      <c r="H201">
        <v>3190</v>
      </c>
    </row>
    <row r="202" spans="1:8">
      <c r="A202" s="2">
        <v>46047</v>
      </c>
      <c r="B202" s="3">
        <v>0.93450231481481483</v>
      </c>
      <c r="C202" t="s">
        <v>11</v>
      </c>
      <c r="D202" t="s">
        <v>308</v>
      </c>
      <c r="E202" t="s">
        <v>13</v>
      </c>
      <c r="H202">
        <v>440</v>
      </c>
    </row>
    <row r="203" spans="1:8">
      <c r="A203" s="2">
        <v>46047</v>
      </c>
      <c r="B203" s="3">
        <v>0.93422453703703701</v>
      </c>
      <c r="C203" t="s">
        <v>14</v>
      </c>
      <c r="D203" t="s">
        <v>309</v>
      </c>
      <c r="E203" t="s">
        <v>16</v>
      </c>
      <c r="H203">
        <v>760</v>
      </c>
    </row>
    <row r="204" spans="1:8">
      <c r="A204" s="2">
        <v>46047</v>
      </c>
      <c r="B204" s="3">
        <v>0.9339467592592593</v>
      </c>
      <c r="C204" t="s">
        <v>8</v>
      </c>
      <c r="D204" t="s">
        <v>310</v>
      </c>
      <c r="E204" t="s">
        <v>10</v>
      </c>
      <c r="H204">
        <v>210</v>
      </c>
    </row>
    <row r="205" spans="1:8">
      <c r="A205" s="2">
        <v>46047</v>
      </c>
      <c r="B205" s="3">
        <v>0.93365740740740744</v>
      </c>
      <c r="C205" t="s">
        <v>11</v>
      </c>
      <c r="D205" t="s">
        <v>311</v>
      </c>
      <c r="E205" t="s">
        <v>13</v>
      </c>
      <c r="F205" t="s">
        <v>312</v>
      </c>
      <c r="G205" t="s">
        <v>313</v>
      </c>
      <c r="H205">
        <v>1850</v>
      </c>
    </row>
    <row r="206" spans="1:8">
      <c r="A206" s="2">
        <v>46047</v>
      </c>
      <c r="B206" s="3">
        <v>0.93335648148148154</v>
      </c>
      <c r="C206" t="s">
        <v>14</v>
      </c>
      <c r="D206" t="s">
        <v>314</v>
      </c>
      <c r="E206" t="s">
        <v>16</v>
      </c>
      <c r="H206">
        <v>560</v>
      </c>
    </row>
    <row r="207" spans="1:8">
      <c r="A207" s="2">
        <v>46047</v>
      </c>
      <c r="B207" s="3">
        <v>0.93305555555555553</v>
      </c>
      <c r="C207" t="s">
        <v>8</v>
      </c>
      <c r="D207" t="s">
        <v>315</v>
      </c>
      <c r="E207" t="s">
        <v>10</v>
      </c>
      <c r="H207">
        <v>980</v>
      </c>
    </row>
    <row r="208" spans="1:8">
      <c r="A208" s="2">
        <v>46047</v>
      </c>
      <c r="B208" s="3">
        <v>0.93274305555555559</v>
      </c>
      <c r="C208" t="s">
        <v>11</v>
      </c>
      <c r="D208" t="s">
        <v>316</v>
      </c>
      <c r="E208" t="s">
        <v>13</v>
      </c>
      <c r="H208">
        <v>-240</v>
      </c>
    </row>
    <row r="209" spans="1:8">
      <c r="A209" s="2">
        <v>46047</v>
      </c>
      <c r="B209" s="3">
        <v>0.9324189814814815</v>
      </c>
      <c r="C209" t="s">
        <v>14</v>
      </c>
      <c r="D209" t="s">
        <v>317</v>
      </c>
      <c r="E209" t="s">
        <v>16</v>
      </c>
      <c r="F209" t="s">
        <v>318</v>
      </c>
      <c r="G209" t="s">
        <v>319</v>
      </c>
      <c r="H209">
        <v>2640</v>
      </c>
    </row>
    <row r="210" spans="1:8">
      <c r="A210" s="2">
        <v>46047</v>
      </c>
      <c r="B210" s="3">
        <v>0.93208333333333337</v>
      </c>
      <c r="C210" t="s">
        <v>8</v>
      </c>
      <c r="D210" t="s">
        <v>320</v>
      </c>
      <c r="E210" t="s">
        <v>10</v>
      </c>
      <c r="H210">
        <v>350</v>
      </c>
    </row>
    <row r="211" spans="1:8">
      <c r="A211" s="2">
        <v>46047</v>
      </c>
      <c r="B211" s="3">
        <v>0.93177083333333333</v>
      </c>
      <c r="C211" t="s">
        <v>11</v>
      </c>
      <c r="D211" t="s">
        <v>321</v>
      </c>
      <c r="E211" t="s">
        <v>13</v>
      </c>
      <c r="H211">
        <v>720</v>
      </c>
    </row>
    <row r="212" spans="1:8">
      <c r="A212" s="2">
        <v>46047</v>
      </c>
      <c r="B212" s="3">
        <v>0.93145833333333339</v>
      </c>
      <c r="C212" t="s">
        <v>14</v>
      </c>
      <c r="D212" t="s">
        <v>322</v>
      </c>
      <c r="E212" t="s">
        <v>16</v>
      </c>
      <c r="H212">
        <v>430</v>
      </c>
    </row>
    <row r="213" spans="1:8">
      <c r="A213" s="2">
        <v>46047</v>
      </c>
      <c r="B213" s="3">
        <v>0.93115740740740738</v>
      </c>
      <c r="C213" t="s">
        <v>8</v>
      </c>
      <c r="D213" t="s">
        <v>323</v>
      </c>
      <c r="E213" t="s">
        <v>10</v>
      </c>
      <c r="F213" t="s">
        <v>324</v>
      </c>
      <c r="G213" t="s">
        <v>325</v>
      </c>
      <c r="H213">
        <v>2290</v>
      </c>
    </row>
    <row r="214" spans="1:8">
      <c r="A214" s="2">
        <v>46047</v>
      </c>
      <c r="B214" s="3">
        <v>0.93085648148148148</v>
      </c>
      <c r="C214" t="s">
        <v>11</v>
      </c>
      <c r="D214" t="s">
        <v>326</v>
      </c>
      <c r="E214" t="s">
        <v>13</v>
      </c>
      <c r="H214">
        <v>180</v>
      </c>
    </row>
    <row r="215" spans="1:8">
      <c r="A215" s="2">
        <v>46047</v>
      </c>
      <c r="B215" s="3">
        <v>0.93054398148148143</v>
      </c>
      <c r="C215" t="s">
        <v>14</v>
      </c>
      <c r="D215" t="s">
        <v>327</v>
      </c>
      <c r="E215" t="s">
        <v>16</v>
      </c>
      <c r="H215">
        <v>860</v>
      </c>
    </row>
    <row r="216" spans="1:8">
      <c r="A216" s="2">
        <v>46047</v>
      </c>
      <c r="B216" s="3">
        <v>0.93023148148148149</v>
      </c>
      <c r="C216" t="s">
        <v>8</v>
      </c>
      <c r="D216" t="s">
        <v>328</v>
      </c>
      <c r="E216" t="s">
        <v>10</v>
      </c>
      <c r="H216">
        <v>540</v>
      </c>
    </row>
    <row r="217" spans="1:8">
      <c r="A217" s="2">
        <v>46047</v>
      </c>
      <c r="B217" s="3">
        <v>0.92991898148148144</v>
      </c>
      <c r="C217" t="s">
        <v>11</v>
      </c>
      <c r="D217" t="s">
        <v>329</v>
      </c>
      <c r="E217" t="s">
        <v>13</v>
      </c>
      <c r="F217" t="s">
        <v>330</v>
      </c>
      <c r="G217" t="s">
        <v>331</v>
      </c>
      <c r="H217">
        <v>3120</v>
      </c>
    </row>
    <row r="218" spans="1:8">
      <c r="A218" s="2">
        <v>46047</v>
      </c>
      <c r="B218" s="3">
        <v>0.92959490740740736</v>
      </c>
      <c r="C218" t="s">
        <v>14</v>
      </c>
      <c r="D218" t="s">
        <v>332</v>
      </c>
      <c r="E218" t="s">
        <v>16</v>
      </c>
      <c r="H218">
        <v>260</v>
      </c>
    </row>
    <row r="219" spans="1:8">
      <c r="A219" s="2">
        <v>46047</v>
      </c>
      <c r="B219" s="3">
        <v>0.92927083333333338</v>
      </c>
      <c r="C219" t="s">
        <v>8</v>
      </c>
      <c r="D219" t="s">
        <v>333</v>
      </c>
      <c r="E219" t="s">
        <v>10</v>
      </c>
      <c r="H219">
        <v>910</v>
      </c>
    </row>
    <row r="220" spans="1:8">
      <c r="A220" s="2">
        <v>46047</v>
      </c>
      <c r="B220" s="3">
        <v>0.92895833333333333</v>
      </c>
      <c r="C220" t="s">
        <v>11</v>
      </c>
      <c r="D220" t="s">
        <v>334</v>
      </c>
      <c r="E220" t="s">
        <v>13</v>
      </c>
      <c r="H220">
        <v>-200</v>
      </c>
    </row>
    <row r="221" spans="1:8">
      <c r="A221" s="2">
        <v>46047</v>
      </c>
      <c r="B221" s="3">
        <v>0.92863425925925924</v>
      </c>
      <c r="C221" t="s">
        <v>14</v>
      </c>
      <c r="D221" t="s">
        <v>335</v>
      </c>
      <c r="E221" t="s">
        <v>16</v>
      </c>
      <c r="F221" t="s">
        <v>336</v>
      </c>
      <c r="G221" t="s">
        <v>337</v>
      </c>
      <c r="H221">
        <v>1980</v>
      </c>
    </row>
    <row r="222" spans="1:8">
      <c r="A222" s="2">
        <v>46047</v>
      </c>
      <c r="B222" s="3">
        <v>0.92831018518518515</v>
      </c>
      <c r="C222" t="s">
        <v>8</v>
      </c>
      <c r="D222" t="s">
        <v>338</v>
      </c>
      <c r="E222" t="s">
        <v>10</v>
      </c>
      <c r="H222">
        <v>370</v>
      </c>
    </row>
    <row r="223" spans="1:8">
      <c r="A223" s="2">
        <v>46047</v>
      </c>
      <c r="B223" s="3">
        <v>0.92798611111111107</v>
      </c>
      <c r="C223" t="s">
        <v>11</v>
      </c>
      <c r="D223" t="s">
        <v>339</v>
      </c>
      <c r="E223" t="s">
        <v>13</v>
      </c>
      <c r="H223">
        <v>640</v>
      </c>
    </row>
    <row r="224" spans="1:8">
      <c r="A224" s="2">
        <v>46047</v>
      </c>
      <c r="B224" s="3">
        <v>0.92765046296296294</v>
      </c>
      <c r="C224" t="s">
        <v>14</v>
      </c>
      <c r="D224" t="s">
        <v>340</v>
      </c>
      <c r="E224" t="s">
        <v>16</v>
      </c>
      <c r="H224">
        <v>520</v>
      </c>
    </row>
    <row r="225" spans="1:8">
      <c r="A225" s="2">
        <v>46047</v>
      </c>
      <c r="B225" s="3">
        <v>0.92732638888888885</v>
      </c>
      <c r="C225" t="s">
        <v>8</v>
      </c>
      <c r="D225" t="s">
        <v>341</v>
      </c>
      <c r="E225" t="s">
        <v>10</v>
      </c>
      <c r="F225" t="s">
        <v>342</v>
      </c>
      <c r="G225" t="s">
        <v>343</v>
      </c>
      <c r="H225">
        <v>2750</v>
      </c>
    </row>
    <row r="226" spans="1:8">
      <c r="A226" s="2">
        <v>46047</v>
      </c>
      <c r="B226" s="3">
        <v>0.92700231481481477</v>
      </c>
      <c r="C226" t="s">
        <v>11</v>
      </c>
      <c r="D226" t="s">
        <v>344</v>
      </c>
      <c r="E226" t="s">
        <v>13</v>
      </c>
      <c r="H226">
        <v>230</v>
      </c>
    </row>
    <row r="227" spans="1:8">
      <c r="A227" s="2">
        <v>46047</v>
      </c>
      <c r="B227" s="3">
        <v>0.92666666666666664</v>
      </c>
      <c r="C227" t="s">
        <v>14</v>
      </c>
      <c r="D227" t="s">
        <v>345</v>
      </c>
      <c r="E227" t="s">
        <v>16</v>
      </c>
      <c r="H227">
        <v>780</v>
      </c>
    </row>
    <row r="228" spans="1:8">
      <c r="A228" s="2">
        <v>46047</v>
      </c>
      <c r="B228" s="3">
        <v>0.92634259259259255</v>
      </c>
      <c r="C228" t="s">
        <v>8</v>
      </c>
      <c r="D228" t="s">
        <v>346</v>
      </c>
      <c r="E228" t="s">
        <v>10</v>
      </c>
      <c r="H228">
        <v>410</v>
      </c>
    </row>
    <row r="229" spans="1:8">
      <c r="A229" s="2">
        <v>46047</v>
      </c>
      <c r="B229" s="3">
        <v>0.92600694444444442</v>
      </c>
      <c r="C229" t="s">
        <v>11</v>
      </c>
      <c r="D229" t="s">
        <v>347</v>
      </c>
      <c r="E229" t="s">
        <v>13</v>
      </c>
      <c r="F229" t="s">
        <v>348</v>
      </c>
      <c r="G229" t="s">
        <v>349</v>
      </c>
      <c r="H229">
        <v>3410</v>
      </c>
    </row>
    <row r="230" spans="1:8">
      <c r="A230" s="2">
        <v>46047</v>
      </c>
      <c r="B230" s="3">
        <v>0.92568287037037034</v>
      </c>
      <c r="C230" t="s">
        <v>14</v>
      </c>
      <c r="D230" t="s">
        <v>350</v>
      </c>
      <c r="E230" t="s">
        <v>16</v>
      </c>
      <c r="H230">
        <v>290</v>
      </c>
    </row>
    <row r="231" spans="1:8">
      <c r="A231" s="2">
        <v>46047</v>
      </c>
      <c r="B231" s="3">
        <v>0.92534722222222221</v>
      </c>
      <c r="C231" t="s">
        <v>8</v>
      </c>
      <c r="D231" t="s">
        <v>351</v>
      </c>
      <c r="E231" t="s">
        <v>10</v>
      </c>
      <c r="H231">
        <v>650</v>
      </c>
    </row>
    <row r="232" spans="1:8">
      <c r="A232" s="2">
        <v>46047</v>
      </c>
      <c r="B232" s="3">
        <v>0.92501157407407408</v>
      </c>
      <c r="C232" t="s">
        <v>11</v>
      </c>
      <c r="D232" t="s">
        <v>352</v>
      </c>
      <c r="E232" t="s">
        <v>13</v>
      </c>
      <c r="H232">
        <v>-180</v>
      </c>
    </row>
    <row r="233" spans="1:8">
      <c r="A233" s="2">
        <v>46047</v>
      </c>
      <c r="B233" s="3">
        <v>0.9246875</v>
      </c>
      <c r="C233" t="s">
        <v>14</v>
      </c>
      <c r="D233" t="s">
        <v>353</v>
      </c>
      <c r="E233" t="s">
        <v>16</v>
      </c>
      <c r="F233" t="s">
        <v>354</v>
      </c>
      <c r="G233" t="s">
        <v>355</v>
      </c>
      <c r="H233">
        <v>2210</v>
      </c>
    </row>
    <row r="234" spans="1:8">
      <c r="A234" s="2">
        <v>46047</v>
      </c>
      <c r="B234" s="3">
        <v>0.92435185185185187</v>
      </c>
      <c r="C234" t="s">
        <v>8</v>
      </c>
      <c r="D234" t="s">
        <v>356</v>
      </c>
      <c r="E234" t="s">
        <v>10</v>
      </c>
      <c r="H234">
        <v>360</v>
      </c>
    </row>
    <row r="235" spans="1:8">
      <c r="A235" s="2">
        <v>46047</v>
      </c>
      <c r="B235" s="3">
        <v>0.92402777777777778</v>
      </c>
      <c r="C235" t="s">
        <v>11</v>
      </c>
      <c r="D235" t="s">
        <v>357</v>
      </c>
      <c r="E235" t="s">
        <v>13</v>
      </c>
      <c r="H235">
        <v>890</v>
      </c>
    </row>
    <row r="236" spans="1:8">
      <c r="A236" s="2">
        <v>46047</v>
      </c>
      <c r="B236" s="3">
        <v>0.92369212962962965</v>
      </c>
      <c r="C236" t="s">
        <v>14</v>
      </c>
      <c r="D236" t="s">
        <v>358</v>
      </c>
      <c r="E236" t="s">
        <v>16</v>
      </c>
      <c r="H236">
        <v>470</v>
      </c>
    </row>
    <row r="237" spans="1:8">
      <c r="A237" s="2">
        <v>46047</v>
      </c>
      <c r="B237" s="3">
        <v>0.92336805555555557</v>
      </c>
      <c r="C237" t="s">
        <v>8</v>
      </c>
      <c r="D237" t="s">
        <v>359</v>
      </c>
      <c r="E237" t="s">
        <v>10</v>
      </c>
      <c r="F237" t="s">
        <v>360</v>
      </c>
      <c r="G237" t="s">
        <v>361</v>
      </c>
      <c r="H237">
        <v>2580</v>
      </c>
    </row>
    <row r="238" spans="1:8">
      <c r="A238" s="2">
        <v>46047</v>
      </c>
      <c r="B238" s="3">
        <v>0.92303240740740744</v>
      </c>
      <c r="C238" t="s">
        <v>11</v>
      </c>
      <c r="D238" t="s">
        <v>362</v>
      </c>
      <c r="E238" t="s">
        <v>13</v>
      </c>
      <c r="H238">
        <v>320</v>
      </c>
    </row>
    <row r="239" spans="1:8">
      <c r="A239" s="2">
        <v>46047</v>
      </c>
      <c r="B239" s="3">
        <v>0.92270833333333335</v>
      </c>
      <c r="C239" t="s">
        <v>14</v>
      </c>
      <c r="D239" t="s">
        <v>363</v>
      </c>
      <c r="E239" t="s">
        <v>16</v>
      </c>
      <c r="H239">
        <v>740</v>
      </c>
    </row>
    <row r="240" spans="1:8">
      <c r="A240" s="2">
        <v>46047</v>
      </c>
      <c r="B240" s="3">
        <v>0.922337962962963</v>
      </c>
      <c r="C240" t="s">
        <v>8</v>
      </c>
      <c r="D240" t="s">
        <v>364</v>
      </c>
      <c r="E240" t="s">
        <v>10</v>
      </c>
      <c r="H240">
        <v>420</v>
      </c>
    </row>
    <row r="241" spans="1:8">
      <c r="A241" s="2">
        <v>46047</v>
      </c>
      <c r="B241" s="3">
        <v>0.92201388888888891</v>
      </c>
      <c r="C241" t="s">
        <v>11</v>
      </c>
      <c r="D241" t="s">
        <v>365</v>
      </c>
      <c r="E241" t="s">
        <v>13</v>
      </c>
      <c r="H241">
        <v>260</v>
      </c>
    </row>
    <row r="242" spans="1:8">
      <c r="A242" s="2">
        <v>46047</v>
      </c>
      <c r="B242" s="3">
        <v>0.92170138888888886</v>
      </c>
      <c r="C242" t="s">
        <v>14</v>
      </c>
      <c r="D242" t="s">
        <v>366</v>
      </c>
      <c r="E242" t="s">
        <v>16</v>
      </c>
      <c r="F242" t="s">
        <v>367</v>
      </c>
      <c r="G242" t="s">
        <v>368</v>
      </c>
      <c r="H242">
        <v>1980</v>
      </c>
    </row>
    <row r="243" spans="1:8">
      <c r="A243" s="2">
        <v>46047</v>
      </c>
      <c r="B243" s="3">
        <v>0.92138888888888892</v>
      </c>
      <c r="C243" t="s">
        <v>8</v>
      </c>
      <c r="D243" t="s">
        <v>369</v>
      </c>
      <c r="E243" t="s">
        <v>10</v>
      </c>
      <c r="H243">
        <v>150</v>
      </c>
    </row>
    <row r="244" spans="1:8">
      <c r="A244" s="2">
        <v>46047</v>
      </c>
      <c r="B244" s="3">
        <v>0.92107638888888888</v>
      </c>
      <c r="C244" t="s">
        <v>11</v>
      </c>
      <c r="D244" t="s">
        <v>370</v>
      </c>
      <c r="E244" t="s">
        <v>13</v>
      </c>
      <c r="H244">
        <v>540</v>
      </c>
    </row>
    <row r="245" spans="1:8">
      <c r="A245" s="2">
        <v>46047</v>
      </c>
      <c r="B245" s="3">
        <v>0.92075231481481479</v>
      </c>
      <c r="C245" t="s">
        <v>14</v>
      </c>
      <c r="D245" t="s">
        <v>371</v>
      </c>
      <c r="E245" t="s">
        <v>16</v>
      </c>
      <c r="H245">
        <v>880</v>
      </c>
    </row>
    <row r="246" spans="1:8">
      <c r="A246" s="2">
        <v>46047</v>
      </c>
      <c r="B246" s="3">
        <v>0.92043981481481485</v>
      </c>
      <c r="C246" t="s">
        <v>8</v>
      </c>
      <c r="D246" t="s">
        <v>372</v>
      </c>
      <c r="E246" t="s">
        <v>10</v>
      </c>
      <c r="F246" t="s">
        <v>373</v>
      </c>
      <c r="G246" t="s">
        <v>374</v>
      </c>
      <c r="H246">
        <v>3120</v>
      </c>
    </row>
    <row r="247" spans="1:8">
      <c r="A247" s="2">
        <v>46047</v>
      </c>
      <c r="B247" s="3">
        <v>0.92011574074074076</v>
      </c>
      <c r="C247" t="s">
        <v>11</v>
      </c>
      <c r="D247" t="s">
        <v>375</v>
      </c>
      <c r="E247" t="s">
        <v>13</v>
      </c>
      <c r="H247">
        <v>230</v>
      </c>
    </row>
    <row r="248" spans="1:8">
      <c r="A248" s="2">
        <v>46047</v>
      </c>
      <c r="B248" s="3">
        <v>0.91980324074074071</v>
      </c>
      <c r="C248" t="s">
        <v>14</v>
      </c>
      <c r="D248" t="s">
        <v>376</v>
      </c>
      <c r="E248" t="s">
        <v>16</v>
      </c>
      <c r="H248">
        <v>760</v>
      </c>
    </row>
    <row r="249" spans="1:8">
      <c r="A249" s="2">
        <v>46047</v>
      </c>
      <c r="B249" s="3">
        <v>0.91947916666666663</v>
      </c>
      <c r="C249" t="s">
        <v>8</v>
      </c>
      <c r="D249" t="s">
        <v>377</v>
      </c>
      <c r="E249" t="s">
        <v>10</v>
      </c>
      <c r="H249">
        <v>-190</v>
      </c>
    </row>
    <row r="250" spans="1:8">
      <c r="A250" s="2">
        <v>46047</v>
      </c>
      <c r="B250" s="3">
        <v>0.91915509259259254</v>
      </c>
      <c r="C250" t="s">
        <v>11</v>
      </c>
      <c r="D250" t="s">
        <v>378</v>
      </c>
      <c r="E250" t="s">
        <v>13</v>
      </c>
      <c r="H250">
        <v>410</v>
      </c>
    </row>
    <row r="251" spans="1:8">
      <c r="A251" s="2">
        <v>46047</v>
      </c>
      <c r="B251" s="3">
        <v>0.91883101851851856</v>
      </c>
      <c r="C251" t="s">
        <v>14</v>
      </c>
      <c r="D251" t="s">
        <v>379</v>
      </c>
      <c r="E251" t="s">
        <v>16</v>
      </c>
      <c r="F251" t="s">
        <v>380</v>
      </c>
      <c r="G251" t="s">
        <v>381</v>
      </c>
      <c r="H251">
        <v>2450</v>
      </c>
    </row>
    <row r="252" spans="1:8">
      <c r="A252" s="2">
        <v>46047</v>
      </c>
      <c r="B252" s="3">
        <v>0.91850694444444447</v>
      </c>
      <c r="C252" t="s">
        <v>8</v>
      </c>
      <c r="D252" t="s">
        <v>382</v>
      </c>
      <c r="E252" t="s">
        <v>10</v>
      </c>
      <c r="H252">
        <v>320</v>
      </c>
    </row>
    <row r="253" spans="1:8">
      <c r="A253" s="2">
        <v>46047</v>
      </c>
      <c r="B253" s="3">
        <v>0.91818287037037039</v>
      </c>
      <c r="C253" t="s">
        <v>11</v>
      </c>
      <c r="D253" t="s">
        <v>383</v>
      </c>
      <c r="E253" t="s">
        <v>13</v>
      </c>
      <c r="H253">
        <v>690</v>
      </c>
    </row>
    <row r="254" spans="1:8">
      <c r="A254" s="2">
        <v>46047</v>
      </c>
      <c r="B254" s="3">
        <v>0.9178587962962963</v>
      </c>
      <c r="C254" t="s">
        <v>14</v>
      </c>
      <c r="D254" t="s">
        <v>384</v>
      </c>
      <c r="E254" t="s">
        <v>16</v>
      </c>
      <c r="H254">
        <v>510</v>
      </c>
    </row>
    <row r="255" spans="1:8">
      <c r="A255" s="2">
        <v>46047</v>
      </c>
      <c r="B255" s="3">
        <v>0.91752314814814817</v>
      </c>
      <c r="C255" t="s">
        <v>8</v>
      </c>
      <c r="D255" t="s">
        <v>385</v>
      </c>
      <c r="E255" t="s">
        <v>10</v>
      </c>
      <c r="F255" t="s">
        <v>386</v>
      </c>
      <c r="G255" t="s">
        <v>387</v>
      </c>
      <c r="H255">
        <v>1780</v>
      </c>
    </row>
    <row r="256" spans="1:8">
      <c r="A256" s="2">
        <v>46047</v>
      </c>
      <c r="B256" s="3">
        <v>0.91719907407407408</v>
      </c>
      <c r="C256" t="s">
        <v>11</v>
      </c>
      <c r="D256" t="s">
        <v>388</v>
      </c>
      <c r="E256" t="s">
        <v>13</v>
      </c>
      <c r="H256">
        <v>260</v>
      </c>
    </row>
    <row r="257" spans="1:8">
      <c r="A257" s="2">
        <v>46047</v>
      </c>
      <c r="B257" s="3">
        <v>0.916875</v>
      </c>
      <c r="C257" t="s">
        <v>14</v>
      </c>
      <c r="D257" t="s">
        <v>389</v>
      </c>
      <c r="E257" t="s">
        <v>16</v>
      </c>
      <c r="H257">
        <v>940</v>
      </c>
    </row>
    <row r="258" spans="1:8">
      <c r="A258" s="2">
        <v>46047</v>
      </c>
      <c r="B258" s="3">
        <v>0.91653935185185187</v>
      </c>
      <c r="C258" t="s">
        <v>8</v>
      </c>
      <c r="D258" t="s">
        <v>390</v>
      </c>
      <c r="E258" t="s">
        <v>10</v>
      </c>
      <c r="H258">
        <v>380</v>
      </c>
    </row>
    <row r="259" spans="1:8">
      <c r="A259" s="2">
        <v>46047</v>
      </c>
      <c r="B259" s="3">
        <v>0.91620370370370374</v>
      </c>
      <c r="C259" t="s">
        <v>11</v>
      </c>
      <c r="D259" t="s">
        <v>391</v>
      </c>
      <c r="E259" t="s">
        <v>13</v>
      </c>
      <c r="F259" t="s">
        <v>392</v>
      </c>
      <c r="G259" t="s">
        <v>393</v>
      </c>
      <c r="H259">
        <v>2890</v>
      </c>
    </row>
    <row r="260" spans="1:8">
      <c r="A260" s="2">
        <v>46047</v>
      </c>
      <c r="B260" s="3">
        <v>0.91587962962962965</v>
      </c>
      <c r="C260" t="s">
        <v>14</v>
      </c>
      <c r="D260" t="s">
        <v>394</v>
      </c>
      <c r="E260" t="s">
        <v>16</v>
      </c>
      <c r="H260">
        <v>570</v>
      </c>
    </row>
    <row r="261" spans="1:8">
      <c r="A261" s="2">
        <v>46047</v>
      </c>
      <c r="B261" s="3">
        <v>0.91554398148148153</v>
      </c>
      <c r="C261" t="s">
        <v>8</v>
      </c>
      <c r="D261" t="s">
        <v>395</v>
      </c>
      <c r="E261" t="s">
        <v>10</v>
      </c>
      <c r="H261">
        <v>120</v>
      </c>
    </row>
    <row r="262" spans="1:8">
      <c r="A262" s="2">
        <v>46047</v>
      </c>
      <c r="B262" s="3">
        <v>0.91521990740740744</v>
      </c>
      <c r="C262" t="s">
        <v>11</v>
      </c>
      <c r="D262" t="s">
        <v>396</v>
      </c>
      <c r="E262" t="s">
        <v>13</v>
      </c>
      <c r="H262">
        <v>860</v>
      </c>
    </row>
    <row r="263" spans="1:8">
      <c r="A263" s="2">
        <v>46047</v>
      </c>
      <c r="B263" s="3">
        <v>0.91488425925925931</v>
      </c>
      <c r="C263" t="s">
        <v>14</v>
      </c>
      <c r="D263" t="s">
        <v>397</v>
      </c>
      <c r="E263" t="s">
        <v>16</v>
      </c>
      <c r="H263">
        <v>-240</v>
      </c>
    </row>
    <row r="264" spans="1:8">
      <c r="A264" s="2">
        <v>46047</v>
      </c>
      <c r="B264" s="3">
        <v>0.91456018518518523</v>
      </c>
      <c r="C264" t="s">
        <v>8</v>
      </c>
      <c r="D264" t="s">
        <v>398</v>
      </c>
      <c r="E264" t="s">
        <v>10</v>
      </c>
      <c r="F264" t="s">
        <v>399</v>
      </c>
      <c r="G264" t="s">
        <v>400</v>
      </c>
      <c r="H264">
        <v>3340</v>
      </c>
    </row>
    <row r="265" spans="1:8">
      <c r="A265" s="2">
        <v>46047</v>
      </c>
      <c r="B265" s="3">
        <v>0.91422453703703699</v>
      </c>
      <c r="C265" t="s">
        <v>11</v>
      </c>
      <c r="D265" t="s">
        <v>401</v>
      </c>
      <c r="E265" t="s">
        <v>13</v>
      </c>
      <c r="H265">
        <v>290</v>
      </c>
    </row>
    <row r="266" spans="1:8">
      <c r="A266" s="2">
        <v>46047</v>
      </c>
      <c r="B266" s="3">
        <v>0.91390046296296301</v>
      </c>
      <c r="C266" t="s">
        <v>14</v>
      </c>
      <c r="D266" t="s">
        <v>402</v>
      </c>
      <c r="E266" t="s">
        <v>16</v>
      </c>
      <c r="H266">
        <v>640</v>
      </c>
    </row>
    <row r="267" spans="1:8">
      <c r="A267" s="2">
        <v>46047</v>
      </c>
      <c r="B267" s="3">
        <v>0.91356481481481477</v>
      </c>
      <c r="C267" t="s">
        <v>8</v>
      </c>
      <c r="D267" t="s">
        <v>403</v>
      </c>
      <c r="E267" t="s">
        <v>10</v>
      </c>
      <c r="H267">
        <v>470</v>
      </c>
    </row>
    <row r="268" spans="1:8">
      <c r="A268" s="2">
        <v>46047</v>
      </c>
      <c r="B268" s="3">
        <v>0.91324074074074069</v>
      </c>
      <c r="C268" t="s">
        <v>11</v>
      </c>
      <c r="D268" t="s">
        <v>404</v>
      </c>
      <c r="E268" t="s">
        <v>13</v>
      </c>
      <c r="F268" t="s">
        <v>405</v>
      </c>
      <c r="G268" t="s">
        <v>406</v>
      </c>
      <c r="H268">
        <v>2210</v>
      </c>
    </row>
    <row r="269" spans="1:8">
      <c r="A269" s="2">
        <v>46047</v>
      </c>
      <c r="B269" s="3">
        <v>0.91290509259259256</v>
      </c>
      <c r="C269" t="s">
        <v>14</v>
      </c>
      <c r="D269" t="s">
        <v>407</v>
      </c>
      <c r="E269" t="s">
        <v>16</v>
      </c>
      <c r="H269">
        <v>510</v>
      </c>
    </row>
    <row r="270" spans="1:8">
      <c r="A270" s="2">
        <v>46047</v>
      </c>
      <c r="B270" s="3">
        <v>0.91258101851851847</v>
      </c>
      <c r="C270" t="s">
        <v>8</v>
      </c>
      <c r="D270" t="s">
        <v>408</v>
      </c>
      <c r="E270" t="s">
        <v>10</v>
      </c>
      <c r="H270">
        <v>780</v>
      </c>
    </row>
    <row r="271" spans="1:8">
      <c r="A271" s="2">
        <v>46047</v>
      </c>
      <c r="B271" s="3">
        <v>0.91224537037037035</v>
      </c>
      <c r="C271" t="s">
        <v>11</v>
      </c>
      <c r="D271" t="s">
        <v>409</v>
      </c>
      <c r="E271" t="s">
        <v>13</v>
      </c>
      <c r="H271">
        <v>260</v>
      </c>
    </row>
    <row r="272" spans="1:8">
      <c r="A272" s="2">
        <v>46047</v>
      </c>
      <c r="B272" s="3">
        <v>0.91192129629629626</v>
      </c>
      <c r="C272" t="s">
        <v>14</v>
      </c>
      <c r="D272" t="s">
        <v>410</v>
      </c>
      <c r="E272" t="s">
        <v>16</v>
      </c>
      <c r="F272" t="s">
        <v>411</v>
      </c>
      <c r="G272" t="s">
        <v>412</v>
      </c>
      <c r="H272">
        <v>3050</v>
      </c>
    </row>
    <row r="273" spans="1:8">
      <c r="A273" s="2">
        <v>46047</v>
      </c>
      <c r="B273" s="3">
        <v>0.91158564814814813</v>
      </c>
      <c r="C273" t="s">
        <v>8</v>
      </c>
      <c r="D273" t="s">
        <v>413</v>
      </c>
      <c r="E273" t="s">
        <v>10</v>
      </c>
      <c r="H273">
        <v>430</v>
      </c>
    </row>
    <row r="274" spans="1:8">
      <c r="A274" s="2">
        <v>46047</v>
      </c>
      <c r="B274" s="3">
        <v>0.91126157407407404</v>
      </c>
      <c r="C274" t="s">
        <v>11</v>
      </c>
      <c r="D274" t="s">
        <v>414</v>
      </c>
      <c r="E274" t="s">
        <v>13</v>
      </c>
      <c r="H274">
        <v>690</v>
      </c>
    </row>
    <row r="275" spans="1:8">
      <c r="A275" s="2">
        <v>46047</v>
      </c>
      <c r="B275" s="3">
        <v>0.91092592592592592</v>
      </c>
      <c r="C275" t="s">
        <v>14</v>
      </c>
      <c r="D275" t="s">
        <v>415</v>
      </c>
      <c r="E275" t="s">
        <v>16</v>
      </c>
      <c r="H275">
        <v>920</v>
      </c>
    </row>
    <row r="276" spans="1:8">
      <c r="A276" s="2">
        <v>46047</v>
      </c>
      <c r="B276" s="3">
        <v>0.91060185185185183</v>
      </c>
      <c r="C276" t="s">
        <v>8</v>
      </c>
      <c r="D276" t="s">
        <v>416</v>
      </c>
      <c r="E276" t="s">
        <v>10</v>
      </c>
      <c r="F276" t="s">
        <v>417</v>
      </c>
      <c r="G276" t="s">
        <v>418</v>
      </c>
      <c r="H276">
        <v>1670</v>
      </c>
    </row>
    <row r="277" spans="1:8">
      <c r="A277" s="2">
        <v>46047</v>
      </c>
      <c r="B277" s="3">
        <v>0.9102662037037037</v>
      </c>
      <c r="C277" t="s">
        <v>11</v>
      </c>
      <c r="D277" t="s">
        <v>419</v>
      </c>
      <c r="E277" t="s">
        <v>13</v>
      </c>
      <c r="H277">
        <v>350</v>
      </c>
    </row>
    <row r="278" spans="1:8">
      <c r="A278" s="2">
        <v>46047</v>
      </c>
      <c r="B278" s="3">
        <v>0.90993055555555558</v>
      </c>
      <c r="C278" t="s">
        <v>14</v>
      </c>
      <c r="D278" t="s">
        <v>420</v>
      </c>
      <c r="E278" t="s">
        <v>16</v>
      </c>
      <c r="H278">
        <v>540</v>
      </c>
    </row>
    <row r="279" spans="1:8">
      <c r="A279" s="2">
        <v>46047</v>
      </c>
      <c r="B279" s="3">
        <v>0.90960648148148149</v>
      </c>
      <c r="C279" t="s">
        <v>8</v>
      </c>
      <c r="D279" t="s">
        <v>421</v>
      </c>
      <c r="E279" t="s">
        <v>10</v>
      </c>
      <c r="H279">
        <v>-180</v>
      </c>
    </row>
    <row r="280" spans="1:8">
      <c r="A280" s="2">
        <v>46047</v>
      </c>
      <c r="B280" s="3">
        <v>0.90927083333333336</v>
      </c>
      <c r="C280" t="s">
        <v>11</v>
      </c>
      <c r="D280" t="s">
        <v>422</v>
      </c>
      <c r="E280" t="s">
        <v>13</v>
      </c>
      <c r="F280" t="s">
        <v>423</v>
      </c>
      <c r="G280" t="s">
        <v>424</v>
      </c>
      <c r="H280">
        <v>2480</v>
      </c>
    </row>
    <row r="281" spans="1:8">
      <c r="A281" s="2">
        <v>46047</v>
      </c>
      <c r="B281" s="3">
        <v>0.90894675925925927</v>
      </c>
      <c r="C281" t="s">
        <v>14</v>
      </c>
      <c r="D281" t="s">
        <v>425</v>
      </c>
      <c r="E281" t="s">
        <v>16</v>
      </c>
      <c r="H281">
        <v>610</v>
      </c>
    </row>
    <row r="282" spans="1:8">
      <c r="A282" s="2">
        <v>46047</v>
      </c>
      <c r="B282" s="3">
        <v>0.90861111111111115</v>
      </c>
      <c r="C282" t="s">
        <v>8</v>
      </c>
      <c r="D282" t="s">
        <v>426</v>
      </c>
      <c r="E282" t="s">
        <v>10</v>
      </c>
      <c r="H282">
        <v>290</v>
      </c>
    </row>
    <row r="283" spans="1:8">
      <c r="A283" s="2">
        <v>46047</v>
      </c>
      <c r="B283" s="3">
        <v>0.90828703703703706</v>
      </c>
      <c r="C283" t="s">
        <v>11</v>
      </c>
      <c r="D283" t="s">
        <v>427</v>
      </c>
      <c r="E283" t="s">
        <v>13</v>
      </c>
      <c r="H283">
        <v>870</v>
      </c>
    </row>
    <row r="284" spans="1:8">
      <c r="A284" s="2">
        <v>46047</v>
      </c>
      <c r="B284" s="3">
        <v>0.90795138888888893</v>
      </c>
      <c r="C284" t="s">
        <v>14</v>
      </c>
      <c r="D284" t="s">
        <v>428</v>
      </c>
      <c r="E284" t="s">
        <v>16</v>
      </c>
      <c r="F284" t="s">
        <v>429</v>
      </c>
      <c r="G284" t="s">
        <v>430</v>
      </c>
      <c r="H284">
        <v>1920</v>
      </c>
    </row>
    <row r="285" spans="1:8">
      <c r="A285" s="2">
        <v>46047</v>
      </c>
      <c r="B285" s="3">
        <v>0.90762731481481485</v>
      </c>
      <c r="C285" t="s">
        <v>8</v>
      </c>
      <c r="D285" t="s">
        <v>431</v>
      </c>
      <c r="E285" t="s">
        <v>10</v>
      </c>
      <c r="H285">
        <v>410</v>
      </c>
    </row>
    <row r="286" spans="1:8">
      <c r="A286" s="2">
        <v>46047</v>
      </c>
      <c r="B286" s="3">
        <v>0.90729166666666672</v>
      </c>
      <c r="C286" t="s">
        <v>11</v>
      </c>
      <c r="D286" t="s">
        <v>432</v>
      </c>
      <c r="E286" t="s">
        <v>13</v>
      </c>
      <c r="H286">
        <v>560</v>
      </c>
    </row>
    <row r="287" spans="1:8">
      <c r="A287" s="2">
        <v>46047</v>
      </c>
      <c r="B287" s="3">
        <v>0.90696759259259263</v>
      </c>
      <c r="C287" t="s">
        <v>14</v>
      </c>
      <c r="D287" t="s">
        <v>433</v>
      </c>
      <c r="E287" t="s">
        <v>16</v>
      </c>
      <c r="H287">
        <v>980</v>
      </c>
    </row>
    <row r="288" spans="1:8">
      <c r="A288" s="2">
        <v>46047</v>
      </c>
      <c r="B288" s="3">
        <v>0.90663194444444439</v>
      </c>
      <c r="C288" t="s">
        <v>8</v>
      </c>
      <c r="D288" t="s">
        <v>434</v>
      </c>
      <c r="E288" t="s">
        <v>10</v>
      </c>
      <c r="F288" t="s">
        <v>435</v>
      </c>
      <c r="G288" t="s">
        <v>436</v>
      </c>
      <c r="H288">
        <v>2750</v>
      </c>
    </row>
    <row r="289" spans="1:8">
      <c r="A289" s="2">
        <v>46047</v>
      </c>
      <c r="B289" s="3">
        <v>0.90630787037037042</v>
      </c>
      <c r="C289" t="s">
        <v>11</v>
      </c>
      <c r="D289" t="s">
        <v>437</v>
      </c>
      <c r="E289" t="s">
        <v>13</v>
      </c>
      <c r="H289">
        <v>230</v>
      </c>
    </row>
    <row r="290" spans="1:8">
      <c r="A290" s="2">
        <v>46047</v>
      </c>
      <c r="B290" s="3">
        <v>0.90597222222222218</v>
      </c>
      <c r="C290" t="s">
        <v>14</v>
      </c>
      <c r="D290" t="s">
        <v>438</v>
      </c>
      <c r="E290" t="s">
        <v>16</v>
      </c>
      <c r="H290">
        <v>740</v>
      </c>
    </row>
    <row r="291" spans="1:8">
      <c r="A291" s="2">
        <v>46047</v>
      </c>
      <c r="B291" s="3">
        <v>0.9056481481481482</v>
      </c>
      <c r="C291" t="s">
        <v>8</v>
      </c>
      <c r="D291" t="s">
        <v>439</v>
      </c>
      <c r="E291" t="s">
        <v>10</v>
      </c>
      <c r="H291">
        <v>360</v>
      </c>
    </row>
    <row r="292" spans="1:8">
      <c r="A292" s="2">
        <v>46047</v>
      </c>
      <c r="B292" s="3">
        <v>0.90531249999999996</v>
      </c>
      <c r="C292" t="s">
        <v>11</v>
      </c>
      <c r="D292" t="s">
        <v>440</v>
      </c>
      <c r="E292" t="s">
        <v>13</v>
      </c>
      <c r="F292" t="s">
        <v>441</v>
      </c>
      <c r="G292" t="s">
        <v>442</v>
      </c>
      <c r="H292">
        <v>3180</v>
      </c>
    </row>
    <row r="293" spans="1:8">
      <c r="A293" s="2">
        <v>46047</v>
      </c>
      <c r="B293" s="3">
        <v>0.90498842592592588</v>
      </c>
      <c r="C293" t="s">
        <v>14</v>
      </c>
      <c r="D293" t="s">
        <v>443</v>
      </c>
      <c r="E293" t="s">
        <v>16</v>
      </c>
      <c r="H293">
        <v>520</v>
      </c>
    </row>
    <row r="294" spans="1:8">
      <c r="A294" s="2">
        <v>46047</v>
      </c>
      <c r="B294" s="3">
        <v>0.90465277777777775</v>
      </c>
      <c r="C294" t="s">
        <v>8</v>
      </c>
      <c r="D294" t="s">
        <v>444</v>
      </c>
      <c r="E294" t="s">
        <v>10</v>
      </c>
      <c r="H294">
        <v>690</v>
      </c>
    </row>
    <row r="295" spans="1:8">
      <c r="A295" s="2">
        <v>46047</v>
      </c>
      <c r="B295" s="3">
        <v>0.90432870370370366</v>
      </c>
      <c r="C295" t="s">
        <v>11</v>
      </c>
      <c r="D295" t="s">
        <v>445</v>
      </c>
      <c r="E295" t="s">
        <v>13</v>
      </c>
      <c r="H295">
        <v>-210</v>
      </c>
    </row>
    <row r="296" spans="1:8">
      <c r="A296" s="2">
        <v>46047</v>
      </c>
      <c r="B296" s="3">
        <v>0.90399305555555554</v>
      </c>
      <c r="C296" t="s">
        <v>14</v>
      </c>
      <c r="D296" t="s">
        <v>446</v>
      </c>
      <c r="E296" t="s">
        <v>16</v>
      </c>
      <c r="F296" t="s">
        <v>447</v>
      </c>
      <c r="G296" t="s">
        <v>448</v>
      </c>
      <c r="H296">
        <v>2040</v>
      </c>
    </row>
    <row r="297" spans="1:8">
      <c r="A297" s="2">
        <v>46047</v>
      </c>
      <c r="B297" s="3">
        <v>0.90366898148148145</v>
      </c>
      <c r="C297" t="s">
        <v>8</v>
      </c>
      <c r="D297" t="s">
        <v>449</v>
      </c>
      <c r="E297" t="s">
        <v>10</v>
      </c>
      <c r="H297">
        <v>480</v>
      </c>
    </row>
    <row r="298" spans="1:8">
      <c r="A298" s="2">
        <v>46047</v>
      </c>
      <c r="B298" s="3">
        <v>0.90333333333333332</v>
      </c>
      <c r="C298" t="s">
        <v>11</v>
      </c>
      <c r="D298" t="s">
        <v>450</v>
      </c>
      <c r="E298" t="s">
        <v>13</v>
      </c>
      <c r="H298">
        <v>830</v>
      </c>
    </row>
    <row r="299" spans="1:8">
      <c r="A299" s="2">
        <v>46047</v>
      </c>
      <c r="B299" s="3">
        <v>0.90300925925925923</v>
      </c>
      <c r="C299" t="s">
        <v>14</v>
      </c>
      <c r="D299" t="s">
        <v>451</v>
      </c>
      <c r="E299" t="s">
        <v>16</v>
      </c>
      <c r="H299">
        <v>610</v>
      </c>
    </row>
    <row r="300" spans="1:8">
      <c r="A300" s="2">
        <v>46047</v>
      </c>
      <c r="B300" s="3">
        <v>0.90268518518518515</v>
      </c>
      <c r="C300" t="s">
        <v>8</v>
      </c>
      <c r="D300" t="s">
        <v>452</v>
      </c>
      <c r="E300" t="s">
        <v>10</v>
      </c>
      <c r="H300">
        <v>420</v>
      </c>
    </row>
    <row r="301" spans="1:8">
      <c r="A301" s="2">
        <v>46047</v>
      </c>
      <c r="B301" s="3">
        <v>0.90236111111111106</v>
      </c>
      <c r="C301" t="s">
        <v>11</v>
      </c>
      <c r="D301" t="s">
        <v>453</v>
      </c>
      <c r="E301" t="s">
        <v>13</v>
      </c>
      <c r="H301">
        <v>260</v>
      </c>
    </row>
    <row r="302" spans="1:8">
      <c r="A302" s="2">
        <v>46047</v>
      </c>
      <c r="B302" s="3">
        <v>0.90203703703703708</v>
      </c>
      <c r="C302" t="s">
        <v>14</v>
      </c>
      <c r="D302" t="s">
        <v>454</v>
      </c>
      <c r="E302" t="s">
        <v>16</v>
      </c>
      <c r="F302" t="s">
        <v>455</v>
      </c>
      <c r="G302" t="s">
        <v>456</v>
      </c>
      <c r="H302">
        <v>1980</v>
      </c>
    </row>
    <row r="303" spans="1:8">
      <c r="A303" s="2">
        <v>46047</v>
      </c>
      <c r="B303" s="3">
        <v>0.90170138888888884</v>
      </c>
      <c r="C303" t="s">
        <v>8</v>
      </c>
      <c r="D303" t="s">
        <v>457</v>
      </c>
      <c r="E303" t="s">
        <v>10</v>
      </c>
      <c r="H303">
        <v>150</v>
      </c>
    </row>
    <row r="304" spans="1:8">
      <c r="A304" s="2">
        <v>46047</v>
      </c>
      <c r="B304" s="3">
        <v>0.90137731481481487</v>
      </c>
      <c r="C304" t="s">
        <v>11</v>
      </c>
      <c r="D304" t="s">
        <v>458</v>
      </c>
      <c r="E304" t="s">
        <v>13</v>
      </c>
      <c r="H304">
        <v>540</v>
      </c>
    </row>
    <row r="305" spans="1:8">
      <c r="A305" s="2">
        <v>46047</v>
      </c>
      <c r="B305" s="3">
        <v>0.90105324074074078</v>
      </c>
      <c r="C305" t="s">
        <v>14</v>
      </c>
      <c r="D305" t="s">
        <v>459</v>
      </c>
      <c r="E305" t="s">
        <v>16</v>
      </c>
      <c r="H305">
        <v>880</v>
      </c>
    </row>
    <row r="306" spans="1:8">
      <c r="A306" s="2">
        <v>46047</v>
      </c>
      <c r="B306" s="3">
        <v>0.90071759259259254</v>
      </c>
      <c r="C306" t="s">
        <v>8</v>
      </c>
      <c r="D306" t="s">
        <v>460</v>
      </c>
      <c r="E306" t="s">
        <v>10</v>
      </c>
      <c r="F306" t="s">
        <v>461</v>
      </c>
      <c r="G306" t="s">
        <v>462</v>
      </c>
      <c r="H306">
        <v>3120</v>
      </c>
    </row>
    <row r="307" spans="1:8">
      <c r="A307" s="2">
        <v>46047</v>
      </c>
      <c r="B307" s="3">
        <v>0.90039351851851857</v>
      </c>
      <c r="C307" t="s">
        <v>11</v>
      </c>
      <c r="D307" t="s">
        <v>463</v>
      </c>
      <c r="E307" t="s">
        <v>13</v>
      </c>
      <c r="H307">
        <v>230</v>
      </c>
    </row>
    <row r="308" spans="1:8">
      <c r="A308" s="2">
        <v>46047</v>
      </c>
      <c r="B308" s="3">
        <v>0.90005787037037033</v>
      </c>
      <c r="C308" t="s">
        <v>14</v>
      </c>
      <c r="D308" t="s">
        <v>464</v>
      </c>
      <c r="E308" t="s">
        <v>16</v>
      </c>
      <c r="H308">
        <v>760</v>
      </c>
    </row>
    <row r="309" spans="1:8">
      <c r="A309" s="2">
        <v>46047</v>
      </c>
      <c r="B309" s="3">
        <v>0.89973379629629635</v>
      </c>
      <c r="C309" t="s">
        <v>8</v>
      </c>
      <c r="D309" t="s">
        <v>465</v>
      </c>
      <c r="E309" t="s">
        <v>10</v>
      </c>
      <c r="H309">
        <v>-190</v>
      </c>
    </row>
    <row r="310" spans="1:8">
      <c r="A310" s="2">
        <v>46047</v>
      </c>
      <c r="B310" s="3">
        <v>0.89939814814814811</v>
      </c>
      <c r="C310" t="s">
        <v>11</v>
      </c>
      <c r="D310" t="s">
        <v>466</v>
      </c>
      <c r="E310" t="s">
        <v>13</v>
      </c>
      <c r="H310">
        <v>410</v>
      </c>
    </row>
    <row r="311" spans="1:8">
      <c r="A311" s="2">
        <v>46047</v>
      </c>
      <c r="B311" s="3">
        <v>0.89907407407407403</v>
      </c>
      <c r="C311" t="s">
        <v>14</v>
      </c>
      <c r="D311" t="s">
        <v>467</v>
      </c>
      <c r="E311" t="s">
        <v>16</v>
      </c>
      <c r="F311" t="s">
        <v>468</v>
      </c>
      <c r="G311" t="s">
        <v>469</v>
      </c>
      <c r="H311">
        <v>2450</v>
      </c>
    </row>
    <row r="312" spans="1:8">
      <c r="A312" s="2">
        <v>46047</v>
      </c>
      <c r="B312" s="3">
        <v>0.8987384259259259</v>
      </c>
      <c r="C312" t="s">
        <v>8</v>
      </c>
      <c r="D312" t="s">
        <v>470</v>
      </c>
      <c r="E312" t="s">
        <v>10</v>
      </c>
      <c r="H312">
        <v>320</v>
      </c>
    </row>
    <row r="313" spans="1:8">
      <c r="A313" s="2">
        <v>46047</v>
      </c>
      <c r="B313" s="3">
        <v>0.89841435185185181</v>
      </c>
      <c r="C313" t="s">
        <v>11</v>
      </c>
      <c r="D313" t="s">
        <v>471</v>
      </c>
      <c r="E313" t="s">
        <v>13</v>
      </c>
      <c r="H313">
        <v>690</v>
      </c>
    </row>
    <row r="314" spans="1:8">
      <c r="A314" s="2">
        <v>46047</v>
      </c>
      <c r="B314" s="3">
        <v>0.89807870370370368</v>
      </c>
      <c r="C314" t="s">
        <v>14</v>
      </c>
      <c r="D314" t="s">
        <v>472</v>
      </c>
      <c r="E314" t="s">
        <v>16</v>
      </c>
      <c r="H314">
        <v>510</v>
      </c>
    </row>
    <row r="315" spans="1:8">
      <c r="A315" s="2">
        <v>46047</v>
      </c>
      <c r="B315" s="3">
        <v>0.8977546296296296</v>
      </c>
      <c r="C315" t="s">
        <v>8</v>
      </c>
      <c r="D315" t="s">
        <v>473</v>
      </c>
      <c r="E315" t="s">
        <v>10</v>
      </c>
      <c r="F315" t="s">
        <v>474</v>
      </c>
      <c r="G315" t="s">
        <v>475</v>
      </c>
      <c r="H315">
        <v>1780</v>
      </c>
    </row>
    <row r="316" spans="1:8">
      <c r="A316" s="2">
        <v>46047</v>
      </c>
      <c r="B316" s="3">
        <v>0.89741898148148147</v>
      </c>
      <c r="C316" t="s">
        <v>11</v>
      </c>
      <c r="D316" t="s">
        <v>476</v>
      </c>
      <c r="E316" t="s">
        <v>13</v>
      </c>
      <c r="H316">
        <v>260</v>
      </c>
    </row>
    <row r="317" spans="1:8">
      <c r="A317" s="2">
        <v>46047</v>
      </c>
      <c r="B317" s="3">
        <v>0.89709490740740738</v>
      </c>
      <c r="C317" t="s">
        <v>14</v>
      </c>
      <c r="D317" t="s">
        <v>477</v>
      </c>
      <c r="E317" t="s">
        <v>16</v>
      </c>
      <c r="H317">
        <v>940</v>
      </c>
    </row>
    <row r="318" spans="1:8">
      <c r="A318" s="2">
        <v>46047</v>
      </c>
      <c r="B318" s="3">
        <v>0.89675925925925926</v>
      </c>
      <c r="C318" t="s">
        <v>8</v>
      </c>
      <c r="D318" t="s">
        <v>478</v>
      </c>
      <c r="E318" t="s">
        <v>10</v>
      </c>
      <c r="H318">
        <v>380</v>
      </c>
    </row>
    <row r="319" spans="1:8">
      <c r="A319" s="2">
        <v>46047</v>
      </c>
      <c r="B319" s="3">
        <v>0.89643518518518517</v>
      </c>
      <c r="C319" t="s">
        <v>11</v>
      </c>
      <c r="D319" t="s">
        <v>479</v>
      </c>
      <c r="E319" t="s">
        <v>13</v>
      </c>
      <c r="F319" t="s">
        <v>480</v>
      </c>
      <c r="G319" t="s">
        <v>481</v>
      </c>
      <c r="H319">
        <v>2890</v>
      </c>
    </row>
    <row r="320" spans="1:8">
      <c r="A320" s="2">
        <v>46047</v>
      </c>
      <c r="B320" s="3">
        <v>0.89609953703703704</v>
      </c>
      <c r="C320" t="s">
        <v>14</v>
      </c>
      <c r="D320" t="s">
        <v>482</v>
      </c>
      <c r="E320" t="s">
        <v>16</v>
      </c>
      <c r="H320">
        <v>570</v>
      </c>
    </row>
    <row r="321" spans="1:8">
      <c r="A321" s="2">
        <v>46047</v>
      </c>
      <c r="B321" s="3">
        <v>0.89577546296296295</v>
      </c>
      <c r="C321" t="s">
        <v>8</v>
      </c>
      <c r="D321" t="s">
        <v>483</v>
      </c>
      <c r="E321" t="s">
        <v>10</v>
      </c>
      <c r="H321">
        <v>120</v>
      </c>
    </row>
    <row r="322" spans="1:8">
      <c r="A322" s="2">
        <v>46047</v>
      </c>
      <c r="B322" s="3">
        <v>0.89543981481481483</v>
      </c>
      <c r="C322" t="s">
        <v>11</v>
      </c>
      <c r="D322" t="s">
        <v>484</v>
      </c>
      <c r="E322" t="s">
        <v>13</v>
      </c>
      <c r="H322">
        <v>860</v>
      </c>
    </row>
    <row r="323" spans="1:8">
      <c r="A323" s="2">
        <v>46047</v>
      </c>
      <c r="B323" s="3">
        <v>0.89511574074074074</v>
      </c>
      <c r="C323" t="s">
        <v>14</v>
      </c>
      <c r="D323" t="s">
        <v>485</v>
      </c>
      <c r="E323" t="s">
        <v>16</v>
      </c>
      <c r="H323">
        <v>-240</v>
      </c>
    </row>
    <row r="324" spans="1:8">
      <c r="A324" s="2">
        <v>46047</v>
      </c>
      <c r="B324" s="3">
        <v>0.89478009259259261</v>
      </c>
      <c r="C324" t="s">
        <v>8</v>
      </c>
      <c r="D324" t="s">
        <v>486</v>
      </c>
      <c r="E324" t="s">
        <v>10</v>
      </c>
      <c r="F324" t="s">
        <v>487</v>
      </c>
      <c r="G324" t="s">
        <v>488</v>
      </c>
      <c r="H324">
        <v>3340</v>
      </c>
    </row>
    <row r="325" spans="1:8">
      <c r="A325" s="2">
        <v>46047</v>
      </c>
      <c r="B325" s="3">
        <v>0.89445601851851853</v>
      </c>
      <c r="C325" t="s">
        <v>11</v>
      </c>
      <c r="D325" t="s">
        <v>489</v>
      </c>
      <c r="E325" t="s">
        <v>13</v>
      </c>
      <c r="H325">
        <v>290</v>
      </c>
    </row>
    <row r="326" spans="1:8">
      <c r="A326" s="2">
        <v>46047</v>
      </c>
      <c r="B326" s="3">
        <v>0.8941203703703704</v>
      </c>
      <c r="C326" t="s">
        <v>14</v>
      </c>
      <c r="D326" t="s">
        <v>490</v>
      </c>
      <c r="E326" t="s">
        <v>16</v>
      </c>
      <c r="H326">
        <v>640</v>
      </c>
    </row>
    <row r="327" spans="1:8">
      <c r="A327" s="2">
        <v>46047</v>
      </c>
      <c r="B327" s="3">
        <v>0.89379629629629631</v>
      </c>
      <c r="C327" t="s">
        <v>8</v>
      </c>
      <c r="D327" t="s">
        <v>491</v>
      </c>
      <c r="E327" t="s">
        <v>10</v>
      </c>
      <c r="H327">
        <v>470</v>
      </c>
    </row>
    <row r="328" spans="1:8">
      <c r="A328" s="2">
        <v>46047</v>
      </c>
      <c r="B328" s="3">
        <v>0.89346064814814818</v>
      </c>
      <c r="C328" t="s">
        <v>11</v>
      </c>
      <c r="D328" t="s">
        <v>492</v>
      </c>
      <c r="E328" t="s">
        <v>13</v>
      </c>
      <c r="F328" t="s">
        <v>493</v>
      </c>
      <c r="G328" t="s">
        <v>494</v>
      </c>
      <c r="H328">
        <v>2210</v>
      </c>
    </row>
    <row r="329" spans="1:8">
      <c r="A329" s="2">
        <v>46047</v>
      </c>
      <c r="B329" s="3">
        <v>0.8931365740740741</v>
      </c>
      <c r="C329" t="s">
        <v>14</v>
      </c>
      <c r="D329" t="s">
        <v>495</v>
      </c>
      <c r="E329" t="s">
        <v>16</v>
      </c>
      <c r="H329">
        <v>510</v>
      </c>
    </row>
    <row r="330" spans="1:8">
      <c r="A330" s="2">
        <v>46047</v>
      </c>
      <c r="B330" s="3">
        <v>0.89280092592592597</v>
      </c>
      <c r="C330" t="s">
        <v>8</v>
      </c>
      <c r="D330" t="s">
        <v>496</v>
      </c>
      <c r="E330" t="s">
        <v>10</v>
      </c>
      <c r="H330">
        <v>780</v>
      </c>
    </row>
    <row r="331" spans="1:8">
      <c r="A331" s="2">
        <v>46047</v>
      </c>
      <c r="B331" s="3">
        <v>0.89247685185185188</v>
      </c>
      <c r="C331" t="s">
        <v>11</v>
      </c>
      <c r="D331" t="s">
        <v>497</v>
      </c>
      <c r="E331" t="s">
        <v>13</v>
      </c>
      <c r="H331">
        <v>260</v>
      </c>
    </row>
    <row r="332" spans="1:8">
      <c r="A332" s="2">
        <v>46047</v>
      </c>
      <c r="B332" s="3">
        <v>0.89214120370370376</v>
      </c>
      <c r="C332" t="s">
        <v>14</v>
      </c>
      <c r="D332" t="s">
        <v>498</v>
      </c>
      <c r="E332" t="s">
        <v>16</v>
      </c>
      <c r="F332" t="s">
        <v>499</v>
      </c>
      <c r="G332" t="s">
        <v>500</v>
      </c>
      <c r="H332">
        <v>3050</v>
      </c>
    </row>
    <row r="333" spans="1:8">
      <c r="A333" s="2">
        <v>46047</v>
      </c>
      <c r="B333" s="3">
        <v>0.89181712962962967</v>
      </c>
      <c r="C333" t="s">
        <v>8</v>
      </c>
      <c r="D333" t="s">
        <v>501</v>
      </c>
      <c r="E333" t="s">
        <v>10</v>
      </c>
      <c r="H333">
        <v>430</v>
      </c>
    </row>
    <row r="334" spans="1:8">
      <c r="A334" s="2">
        <v>46047</v>
      </c>
      <c r="B334" s="3">
        <v>0.89148148148148143</v>
      </c>
      <c r="C334" t="s">
        <v>11</v>
      </c>
      <c r="D334" t="s">
        <v>502</v>
      </c>
      <c r="E334" t="s">
        <v>13</v>
      </c>
      <c r="H334">
        <v>690</v>
      </c>
    </row>
    <row r="335" spans="1:8">
      <c r="A335" s="2">
        <v>46047</v>
      </c>
      <c r="B335" s="3">
        <v>0.89115740740740745</v>
      </c>
      <c r="C335" t="s">
        <v>14</v>
      </c>
      <c r="D335" t="s">
        <v>503</v>
      </c>
      <c r="E335" t="s">
        <v>16</v>
      </c>
      <c r="H335">
        <v>920</v>
      </c>
    </row>
    <row r="336" spans="1:8">
      <c r="A336" s="2">
        <v>46047</v>
      </c>
      <c r="B336" s="3">
        <v>0.89082175925925922</v>
      </c>
      <c r="C336" t="s">
        <v>8</v>
      </c>
      <c r="D336" t="s">
        <v>504</v>
      </c>
      <c r="E336" t="s">
        <v>10</v>
      </c>
      <c r="F336" t="s">
        <v>505</v>
      </c>
      <c r="G336" t="s">
        <v>506</v>
      </c>
      <c r="H336">
        <v>1670</v>
      </c>
    </row>
    <row r="337" spans="1:8">
      <c r="A337" s="2">
        <v>46047</v>
      </c>
      <c r="B337" s="3">
        <v>0.89049768518518524</v>
      </c>
      <c r="C337" t="s">
        <v>11</v>
      </c>
      <c r="D337" t="s">
        <v>507</v>
      </c>
      <c r="E337" t="s">
        <v>13</v>
      </c>
      <c r="H337">
        <v>350</v>
      </c>
    </row>
    <row r="338" spans="1:8">
      <c r="A338" s="2">
        <v>46047</v>
      </c>
      <c r="B338" s="3">
        <v>0.890162037037037</v>
      </c>
      <c r="C338" t="s">
        <v>14</v>
      </c>
      <c r="D338" t="s">
        <v>508</v>
      </c>
      <c r="E338" t="s">
        <v>16</v>
      </c>
      <c r="H338">
        <v>540</v>
      </c>
    </row>
    <row r="339" spans="1:8">
      <c r="A339" s="2">
        <v>46047</v>
      </c>
      <c r="B339" s="3">
        <v>0.88983796296296291</v>
      </c>
      <c r="C339" t="s">
        <v>8</v>
      </c>
      <c r="D339" t="s">
        <v>509</v>
      </c>
      <c r="E339" t="s">
        <v>10</v>
      </c>
      <c r="H339">
        <v>-180</v>
      </c>
    </row>
    <row r="340" spans="1:8">
      <c r="A340" s="2">
        <v>46047</v>
      </c>
      <c r="B340" s="3">
        <v>0.88950231481481479</v>
      </c>
      <c r="C340" t="s">
        <v>11</v>
      </c>
      <c r="D340" t="s">
        <v>510</v>
      </c>
      <c r="E340" t="s">
        <v>13</v>
      </c>
      <c r="F340" t="s">
        <v>511</v>
      </c>
      <c r="G340" t="s">
        <v>512</v>
      </c>
      <c r="H340">
        <v>2480</v>
      </c>
    </row>
    <row r="341" spans="1:8">
      <c r="A341" s="2">
        <v>46047</v>
      </c>
      <c r="B341" s="3">
        <v>0.8891782407407407</v>
      </c>
      <c r="C341" t="s">
        <v>14</v>
      </c>
      <c r="D341" t="s">
        <v>513</v>
      </c>
      <c r="E341" t="s">
        <v>16</v>
      </c>
      <c r="H341">
        <v>610</v>
      </c>
    </row>
    <row r="342" spans="1:8">
      <c r="A342" s="2">
        <v>46047</v>
      </c>
      <c r="B342" s="3">
        <v>0.88884259259259257</v>
      </c>
      <c r="C342" t="s">
        <v>8</v>
      </c>
      <c r="D342" t="s">
        <v>514</v>
      </c>
      <c r="E342" t="s">
        <v>10</v>
      </c>
      <c r="H342">
        <v>290</v>
      </c>
    </row>
    <row r="343" spans="1:8">
      <c r="A343" s="2">
        <v>46047</v>
      </c>
      <c r="B343" s="3">
        <v>0.88851851851851849</v>
      </c>
      <c r="C343" t="s">
        <v>11</v>
      </c>
      <c r="D343" t="s">
        <v>515</v>
      </c>
      <c r="E343" t="s">
        <v>13</v>
      </c>
      <c r="H343">
        <v>870</v>
      </c>
    </row>
    <row r="344" spans="1:8">
      <c r="A344" s="2">
        <v>46047</v>
      </c>
      <c r="B344" s="3">
        <v>0.88818287037037036</v>
      </c>
      <c r="C344" t="s">
        <v>14</v>
      </c>
      <c r="D344" t="s">
        <v>516</v>
      </c>
      <c r="E344" t="s">
        <v>16</v>
      </c>
      <c r="F344" t="s">
        <v>517</v>
      </c>
      <c r="G344" t="s">
        <v>518</v>
      </c>
      <c r="H344">
        <v>1920</v>
      </c>
    </row>
    <row r="345" spans="1:8">
      <c r="A345" s="2">
        <v>46047</v>
      </c>
      <c r="B345" s="3">
        <v>0.88785879629629627</v>
      </c>
      <c r="C345" t="s">
        <v>8</v>
      </c>
      <c r="D345" t="s">
        <v>519</v>
      </c>
      <c r="E345" t="s">
        <v>10</v>
      </c>
      <c r="H345">
        <v>410</v>
      </c>
    </row>
    <row r="346" spans="1:8">
      <c r="A346" s="2">
        <v>46047</v>
      </c>
      <c r="B346" s="3">
        <v>0.88752314814814814</v>
      </c>
      <c r="C346" t="s">
        <v>11</v>
      </c>
      <c r="D346" t="s">
        <v>520</v>
      </c>
      <c r="E346" t="s">
        <v>13</v>
      </c>
      <c r="H346">
        <v>560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5B903-529E-47A2-8DEC-65D57C4ED5DA}">
  <dimension ref="A1:K346"/>
  <sheetViews>
    <sheetView topLeftCell="A88" workbookViewId="0">
      <selection activeCell="L23" sqref="L23"/>
    </sheetView>
  </sheetViews>
  <sheetFormatPr defaultColWidth="11.5703125" defaultRowHeight="15"/>
  <cols>
    <col min="1" max="4" width="11.5703125" style="5"/>
    <col min="5" max="5" width="12.7109375" style="5" bestFit="1" customWidth="1"/>
    <col min="6" max="8" width="11.5703125" style="5"/>
    <col min="9" max="9" width="16" style="5" bestFit="1" customWidth="1"/>
    <col min="10" max="10" width="12.140625" style="5" bestFit="1" customWidth="1"/>
    <col min="11" max="11" width="14.5703125" style="5" bestFit="1" customWidth="1"/>
    <col min="12" max="16384" width="11.5703125" style="5"/>
  </cols>
  <sheetData>
    <row r="1" spans="1:1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521</v>
      </c>
      <c r="J1" s="5" t="s">
        <v>522</v>
      </c>
      <c r="K1" s="5" t="s">
        <v>523</v>
      </c>
    </row>
    <row r="2" spans="1:11">
      <c r="A2" s="6">
        <v>46047</v>
      </c>
      <c r="B2" s="7">
        <v>0.37861111111111112</v>
      </c>
      <c r="C2" s="5" t="s">
        <v>8</v>
      </c>
      <c r="D2" s="5" t="s">
        <v>9</v>
      </c>
      <c r="E2" s="5" t="s">
        <v>10</v>
      </c>
      <c r="H2" s="5">
        <v>245</v>
      </c>
      <c r="I2" s="5" t="str">
        <f t="shared" ref="I2:I65" si="0">IF(F2="","OFFLINE","ONLINE")</f>
        <v>OFFLINE</v>
      </c>
      <c r="J2" s="5" t="str">
        <f t="shared" ref="J2:J65" si="1">IF(H2 &lt; 0, "Return", "Sale")</f>
        <v>Sale</v>
      </c>
      <c r="K2" s="5">
        <f t="shared" ref="K2:K65" si="2">ABS(H2)</f>
        <v>245</v>
      </c>
    </row>
    <row r="3" spans="1:11">
      <c r="A3" s="6">
        <v>46047</v>
      </c>
      <c r="B3" s="7">
        <v>0.38384259259259257</v>
      </c>
      <c r="C3" s="5" t="s">
        <v>11</v>
      </c>
      <c r="D3" s="5" t="s">
        <v>12</v>
      </c>
      <c r="E3" s="5" t="s">
        <v>13</v>
      </c>
      <c r="H3" s="5">
        <v>780</v>
      </c>
      <c r="I3" s="5" t="str">
        <f t="shared" si="0"/>
        <v>OFFLINE</v>
      </c>
      <c r="J3" s="5" t="str">
        <f t="shared" si="1"/>
        <v>Sale</v>
      </c>
      <c r="K3" s="5">
        <f t="shared" si="2"/>
        <v>780</v>
      </c>
    </row>
    <row r="4" spans="1:11">
      <c r="A4" s="6">
        <v>46047</v>
      </c>
      <c r="B4" s="7">
        <v>0.38760416666666669</v>
      </c>
      <c r="C4" s="5" t="s">
        <v>14</v>
      </c>
      <c r="D4" s="5" t="s">
        <v>15</v>
      </c>
      <c r="E4" s="5" t="s">
        <v>16</v>
      </c>
      <c r="H4" s="5">
        <v>120</v>
      </c>
      <c r="I4" s="5" t="str">
        <f t="shared" si="0"/>
        <v>OFFLINE</v>
      </c>
      <c r="J4" s="5" t="str">
        <f t="shared" si="1"/>
        <v>Sale</v>
      </c>
      <c r="K4" s="5">
        <f t="shared" si="2"/>
        <v>120</v>
      </c>
    </row>
    <row r="5" spans="1:11">
      <c r="A5" s="6">
        <v>46047</v>
      </c>
      <c r="B5" s="7">
        <v>0.39341435185185186</v>
      </c>
      <c r="C5" s="5" t="s">
        <v>8</v>
      </c>
      <c r="D5" s="5" t="s">
        <v>17</v>
      </c>
      <c r="E5" s="5" t="s">
        <v>10</v>
      </c>
      <c r="F5" s="5" t="s">
        <v>18</v>
      </c>
      <c r="G5" s="5" t="s">
        <v>19</v>
      </c>
      <c r="H5" s="5">
        <v>1560</v>
      </c>
      <c r="I5" s="5" t="str">
        <f t="shared" si="0"/>
        <v>ONLINE</v>
      </c>
      <c r="J5" s="5" t="str">
        <f t="shared" si="1"/>
        <v>Sale</v>
      </c>
      <c r="K5" s="5">
        <f t="shared" si="2"/>
        <v>1560</v>
      </c>
    </row>
    <row r="6" spans="1:11">
      <c r="A6" s="6">
        <v>46047</v>
      </c>
      <c r="B6" s="7">
        <v>0.40355324074074073</v>
      </c>
      <c r="C6" s="5" t="s">
        <v>11</v>
      </c>
      <c r="D6" s="5" t="s">
        <v>20</v>
      </c>
      <c r="E6" s="5" t="s">
        <v>13</v>
      </c>
      <c r="H6" s="5">
        <v>340</v>
      </c>
      <c r="I6" s="5" t="str">
        <f t="shared" si="0"/>
        <v>OFFLINE</v>
      </c>
      <c r="J6" s="5" t="str">
        <f t="shared" si="1"/>
        <v>Sale</v>
      </c>
      <c r="K6" s="5">
        <f t="shared" si="2"/>
        <v>340</v>
      </c>
    </row>
    <row r="7" spans="1:11">
      <c r="A7" s="6">
        <v>46047</v>
      </c>
      <c r="B7" s="7">
        <v>0.41344907407407405</v>
      </c>
      <c r="C7" s="5" t="s">
        <v>14</v>
      </c>
      <c r="D7" s="5" t="s">
        <v>21</v>
      </c>
      <c r="E7" s="5" t="s">
        <v>16</v>
      </c>
      <c r="H7" s="5">
        <v>2150</v>
      </c>
      <c r="I7" s="5" t="str">
        <f t="shared" si="0"/>
        <v>OFFLINE</v>
      </c>
      <c r="J7" s="5" t="str">
        <f t="shared" si="1"/>
        <v>Sale</v>
      </c>
      <c r="K7" s="5">
        <f t="shared" si="2"/>
        <v>2150</v>
      </c>
    </row>
    <row r="8" spans="1:11">
      <c r="A8" s="6">
        <v>46047</v>
      </c>
      <c r="B8" s="7">
        <v>0.41895833333333332</v>
      </c>
      <c r="C8" s="5" t="s">
        <v>8</v>
      </c>
      <c r="D8" s="5" t="s">
        <v>22</v>
      </c>
      <c r="E8" s="5" t="s">
        <v>10</v>
      </c>
      <c r="H8" s="5">
        <v>95</v>
      </c>
      <c r="I8" s="5" t="str">
        <f t="shared" si="0"/>
        <v>OFFLINE</v>
      </c>
      <c r="J8" s="5" t="str">
        <f t="shared" si="1"/>
        <v>Sale</v>
      </c>
      <c r="K8" s="5">
        <f t="shared" si="2"/>
        <v>95</v>
      </c>
    </row>
    <row r="9" spans="1:11">
      <c r="A9" s="6">
        <v>46047</v>
      </c>
      <c r="B9" s="7">
        <v>0.42770833333333336</v>
      </c>
      <c r="C9" s="5" t="s">
        <v>11</v>
      </c>
      <c r="D9" s="5" t="s">
        <v>23</v>
      </c>
      <c r="E9" s="5" t="s">
        <v>13</v>
      </c>
      <c r="F9" s="5" t="s">
        <v>24</v>
      </c>
      <c r="G9" s="5" t="s">
        <v>25</v>
      </c>
      <c r="H9" s="5">
        <v>890</v>
      </c>
      <c r="I9" s="5" t="str">
        <f t="shared" si="0"/>
        <v>ONLINE</v>
      </c>
      <c r="J9" s="5" t="str">
        <f t="shared" si="1"/>
        <v>Sale</v>
      </c>
      <c r="K9" s="5">
        <f t="shared" si="2"/>
        <v>890</v>
      </c>
    </row>
    <row r="10" spans="1:11">
      <c r="A10" s="6">
        <v>46047</v>
      </c>
      <c r="B10" s="7">
        <v>0.43657407407407406</v>
      </c>
      <c r="C10" s="5" t="s">
        <v>14</v>
      </c>
      <c r="D10" s="5" t="s">
        <v>26</v>
      </c>
      <c r="E10" s="5" t="s">
        <v>16</v>
      </c>
      <c r="H10" s="5">
        <v>460</v>
      </c>
      <c r="I10" s="5" t="str">
        <f t="shared" si="0"/>
        <v>OFFLINE</v>
      </c>
      <c r="J10" s="5" t="str">
        <f t="shared" si="1"/>
        <v>Sale</v>
      </c>
      <c r="K10" s="5">
        <f t="shared" si="2"/>
        <v>460</v>
      </c>
    </row>
    <row r="11" spans="1:11">
      <c r="A11" s="6">
        <v>46047</v>
      </c>
      <c r="B11" s="7">
        <v>0.44596064814814818</v>
      </c>
      <c r="C11" s="5" t="s">
        <v>8</v>
      </c>
      <c r="D11" s="5" t="s">
        <v>27</v>
      </c>
      <c r="E11" s="5" t="s">
        <v>10</v>
      </c>
      <c r="H11" s="5">
        <v>1320</v>
      </c>
      <c r="I11" s="5" t="str">
        <f t="shared" si="0"/>
        <v>OFFLINE</v>
      </c>
      <c r="J11" s="5" t="str">
        <f t="shared" si="1"/>
        <v>Sale</v>
      </c>
      <c r="K11" s="5">
        <f t="shared" si="2"/>
        <v>1320</v>
      </c>
    </row>
    <row r="12" spans="1:11">
      <c r="A12" s="6">
        <v>46047</v>
      </c>
      <c r="B12" s="7">
        <v>0.45489583333333333</v>
      </c>
      <c r="C12" s="5" t="s">
        <v>11</v>
      </c>
      <c r="D12" s="5" t="s">
        <v>28</v>
      </c>
      <c r="E12" s="5" t="s">
        <v>13</v>
      </c>
      <c r="H12" s="5">
        <v>275</v>
      </c>
      <c r="I12" s="5" t="str">
        <f t="shared" si="0"/>
        <v>OFFLINE</v>
      </c>
      <c r="J12" s="5" t="str">
        <f t="shared" si="1"/>
        <v>Sale</v>
      </c>
      <c r="K12" s="5">
        <f t="shared" si="2"/>
        <v>275</v>
      </c>
    </row>
    <row r="13" spans="1:11">
      <c r="A13" s="6">
        <v>46047</v>
      </c>
      <c r="B13" s="7">
        <v>0.46376157407407409</v>
      </c>
      <c r="C13" s="5" t="s">
        <v>14</v>
      </c>
      <c r="D13" s="5" t="s">
        <v>29</v>
      </c>
      <c r="E13" s="5" t="s">
        <v>16</v>
      </c>
      <c r="F13" s="5" t="s">
        <v>30</v>
      </c>
      <c r="G13" s="5" t="s">
        <v>31</v>
      </c>
      <c r="H13" s="5">
        <v>2140</v>
      </c>
      <c r="I13" s="5" t="str">
        <f t="shared" si="0"/>
        <v>ONLINE</v>
      </c>
      <c r="J13" s="5" t="str">
        <f t="shared" si="1"/>
        <v>Sale</v>
      </c>
      <c r="K13" s="5">
        <f t="shared" si="2"/>
        <v>2140</v>
      </c>
    </row>
    <row r="14" spans="1:11">
      <c r="A14" s="6">
        <v>46047</v>
      </c>
      <c r="B14" s="7">
        <v>0.47182870370370372</v>
      </c>
      <c r="C14" s="5" t="s">
        <v>8</v>
      </c>
      <c r="D14" s="5" t="s">
        <v>32</v>
      </c>
      <c r="E14" s="5" t="s">
        <v>10</v>
      </c>
      <c r="H14" s="5">
        <v>560</v>
      </c>
      <c r="I14" s="5" t="str">
        <f t="shared" si="0"/>
        <v>OFFLINE</v>
      </c>
      <c r="J14" s="5" t="str">
        <f t="shared" si="1"/>
        <v>Sale</v>
      </c>
      <c r="K14" s="5">
        <f t="shared" si="2"/>
        <v>560</v>
      </c>
    </row>
    <row r="15" spans="1:11">
      <c r="A15" s="6">
        <v>46047</v>
      </c>
      <c r="B15" s="7">
        <v>0.48192129629629632</v>
      </c>
      <c r="C15" s="5" t="s">
        <v>11</v>
      </c>
      <c r="D15" s="5" t="s">
        <v>33</v>
      </c>
      <c r="E15" s="5" t="s">
        <v>13</v>
      </c>
      <c r="H15" s="5">
        <v>410</v>
      </c>
      <c r="I15" s="5" t="str">
        <f t="shared" si="0"/>
        <v>OFFLINE</v>
      </c>
      <c r="J15" s="5" t="str">
        <f t="shared" si="1"/>
        <v>Sale</v>
      </c>
      <c r="K15" s="5">
        <f t="shared" si="2"/>
        <v>410</v>
      </c>
    </row>
    <row r="16" spans="1:11">
      <c r="A16" s="6">
        <v>46047</v>
      </c>
      <c r="B16" s="7">
        <v>0.49178240740740742</v>
      </c>
      <c r="C16" s="5" t="s">
        <v>14</v>
      </c>
      <c r="D16" s="5" t="s">
        <v>34</v>
      </c>
      <c r="E16" s="5" t="s">
        <v>16</v>
      </c>
      <c r="H16" s="5">
        <v>75</v>
      </c>
      <c r="I16" s="5" t="str">
        <f t="shared" si="0"/>
        <v>OFFLINE</v>
      </c>
      <c r="J16" s="5" t="str">
        <f t="shared" si="1"/>
        <v>Sale</v>
      </c>
      <c r="K16" s="5">
        <f t="shared" si="2"/>
        <v>75</v>
      </c>
    </row>
    <row r="17" spans="1:11">
      <c r="A17" s="6">
        <v>46047</v>
      </c>
      <c r="B17" s="7">
        <v>0.50189814814814815</v>
      </c>
      <c r="C17" s="5" t="s">
        <v>8</v>
      </c>
      <c r="D17" s="5" t="s">
        <v>35</v>
      </c>
      <c r="E17" s="5" t="s">
        <v>10</v>
      </c>
      <c r="F17" s="5" t="s">
        <v>36</v>
      </c>
      <c r="G17" s="5" t="s">
        <v>37</v>
      </c>
      <c r="H17" s="5">
        <v>3250</v>
      </c>
      <c r="I17" s="5" t="str">
        <f t="shared" si="0"/>
        <v>ONLINE</v>
      </c>
      <c r="J17" s="5" t="str">
        <f t="shared" si="1"/>
        <v>Sale</v>
      </c>
      <c r="K17" s="5">
        <f t="shared" si="2"/>
        <v>3250</v>
      </c>
    </row>
    <row r="18" spans="1:11">
      <c r="A18" s="6">
        <v>46047</v>
      </c>
      <c r="B18" s="7">
        <v>0.51285879629629627</v>
      </c>
      <c r="C18" s="5" t="s">
        <v>11</v>
      </c>
      <c r="D18" s="5" t="s">
        <v>38</v>
      </c>
      <c r="E18" s="5" t="s">
        <v>13</v>
      </c>
      <c r="H18" s="5">
        <v>980</v>
      </c>
      <c r="I18" s="5" t="str">
        <f t="shared" si="0"/>
        <v>OFFLINE</v>
      </c>
      <c r="J18" s="5" t="str">
        <f t="shared" si="1"/>
        <v>Sale</v>
      </c>
      <c r="K18" s="5">
        <f t="shared" si="2"/>
        <v>980</v>
      </c>
    </row>
    <row r="19" spans="1:11">
      <c r="A19" s="6">
        <v>46047</v>
      </c>
      <c r="B19" s="7">
        <v>0.52424768518518516</v>
      </c>
      <c r="C19" s="5" t="s">
        <v>14</v>
      </c>
      <c r="D19" s="5" t="s">
        <v>39</v>
      </c>
      <c r="E19" s="5" t="s">
        <v>16</v>
      </c>
      <c r="H19" s="5">
        <v>150</v>
      </c>
      <c r="I19" s="5" t="str">
        <f t="shared" si="0"/>
        <v>OFFLINE</v>
      </c>
      <c r="J19" s="5" t="str">
        <f t="shared" si="1"/>
        <v>Sale</v>
      </c>
      <c r="K19" s="5">
        <f t="shared" si="2"/>
        <v>150</v>
      </c>
    </row>
    <row r="20" spans="1:11">
      <c r="A20" s="6">
        <v>46047</v>
      </c>
      <c r="B20" s="7">
        <v>0.53491898148148154</v>
      </c>
      <c r="C20" s="5" t="s">
        <v>8</v>
      </c>
      <c r="D20" s="5" t="s">
        <v>40</v>
      </c>
      <c r="E20" s="5" t="s">
        <v>10</v>
      </c>
      <c r="H20" s="5">
        <v>670</v>
      </c>
      <c r="I20" s="5" t="str">
        <f t="shared" si="0"/>
        <v>OFFLINE</v>
      </c>
      <c r="J20" s="5" t="str">
        <f t="shared" si="1"/>
        <v>Sale</v>
      </c>
      <c r="K20" s="5">
        <f t="shared" si="2"/>
        <v>670</v>
      </c>
    </row>
    <row r="21" spans="1:11">
      <c r="A21" s="6">
        <v>46047</v>
      </c>
      <c r="B21" s="7">
        <v>0.54562500000000003</v>
      </c>
      <c r="C21" s="5" t="s">
        <v>11</v>
      </c>
      <c r="D21" s="5" t="s">
        <v>41</v>
      </c>
      <c r="E21" s="5" t="s">
        <v>13</v>
      </c>
      <c r="F21" s="5" t="s">
        <v>42</v>
      </c>
      <c r="G21" s="5" t="s">
        <v>43</v>
      </c>
      <c r="H21" s="5">
        <v>1240</v>
      </c>
      <c r="I21" s="5" t="str">
        <f t="shared" si="0"/>
        <v>ONLINE</v>
      </c>
      <c r="J21" s="5" t="str">
        <f t="shared" si="1"/>
        <v>Sale</v>
      </c>
      <c r="K21" s="5">
        <f t="shared" si="2"/>
        <v>1240</v>
      </c>
    </row>
    <row r="22" spans="1:11">
      <c r="A22" s="6">
        <v>46047</v>
      </c>
      <c r="B22" s="7">
        <v>0.557037037037037</v>
      </c>
      <c r="C22" s="5" t="s">
        <v>14</v>
      </c>
      <c r="D22" s="5" t="s">
        <v>44</v>
      </c>
      <c r="E22" s="5" t="s">
        <v>16</v>
      </c>
      <c r="H22" s="5">
        <v>210</v>
      </c>
      <c r="I22" s="5" t="str">
        <f t="shared" si="0"/>
        <v>OFFLINE</v>
      </c>
      <c r="J22" s="5" t="str">
        <f t="shared" si="1"/>
        <v>Sale</v>
      </c>
      <c r="K22" s="5">
        <f t="shared" si="2"/>
        <v>210</v>
      </c>
    </row>
    <row r="23" spans="1:11">
      <c r="A23" s="6">
        <v>46047</v>
      </c>
      <c r="B23" s="7">
        <v>0.56870370370370371</v>
      </c>
      <c r="C23" s="5" t="s">
        <v>8</v>
      </c>
      <c r="D23" s="5" t="s">
        <v>45</v>
      </c>
      <c r="E23" s="5" t="s">
        <v>10</v>
      </c>
      <c r="H23" s="5">
        <v>1840</v>
      </c>
      <c r="I23" s="5" t="str">
        <f t="shared" si="0"/>
        <v>OFFLINE</v>
      </c>
      <c r="J23" s="5" t="str">
        <f t="shared" si="1"/>
        <v>Sale</v>
      </c>
      <c r="K23" s="5">
        <f t="shared" si="2"/>
        <v>1840</v>
      </c>
    </row>
    <row r="24" spans="1:11">
      <c r="A24" s="6">
        <v>46047</v>
      </c>
      <c r="B24" s="7">
        <v>0.58010416666666664</v>
      </c>
      <c r="C24" s="5" t="s">
        <v>11</v>
      </c>
      <c r="D24" s="5" t="s">
        <v>46</v>
      </c>
      <c r="E24" s="5" t="s">
        <v>13</v>
      </c>
      <c r="H24" s="5">
        <v>-320</v>
      </c>
      <c r="I24" s="5" t="str">
        <f t="shared" si="0"/>
        <v>OFFLINE</v>
      </c>
      <c r="J24" s="5" t="str">
        <f t="shared" si="1"/>
        <v>Return</v>
      </c>
      <c r="K24" s="5">
        <f t="shared" si="2"/>
        <v>320</v>
      </c>
    </row>
    <row r="25" spans="1:11">
      <c r="A25" s="6">
        <v>46047</v>
      </c>
      <c r="B25" s="7">
        <v>0.59012731481481484</v>
      </c>
      <c r="C25" s="5" t="s">
        <v>14</v>
      </c>
      <c r="D25" s="5" t="s">
        <v>47</v>
      </c>
      <c r="E25" s="5" t="s">
        <v>16</v>
      </c>
      <c r="H25" s="5">
        <v>540</v>
      </c>
      <c r="I25" s="5" t="str">
        <f t="shared" si="0"/>
        <v>OFFLINE</v>
      </c>
      <c r="J25" s="5" t="str">
        <f t="shared" si="1"/>
        <v>Sale</v>
      </c>
      <c r="K25" s="5">
        <f t="shared" si="2"/>
        <v>540</v>
      </c>
    </row>
    <row r="26" spans="1:11">
      <c r="A26" s="6">
        <v>46047</v>
      </c>
      <c r="B26" s="7">
        <v>0.60038194444444448</v>
      </c>
      <c r="C26" s="5" t="s">
        <v>8</v>
      </c>
      <c r="D26" s="5" t="s">
        <v>48</v>
      </c>
      <c r="E26" s="5" t="s">
        <v>10</v>
      </c>
      <c r="F26" s="5" t="s">
        <v>49</v>
      </c>
      <c r="G26" s="5" t="s">
        <v>50</v>
      </c>
      <c r="H26" s="5">
        <v>2750</v>
      </c>
      <c r="I26" s="5" t="str">
        <f t="shared" si="0"/>
        <v>ONLINE</v>
      </c>
      <c r="J26" s="5" t="str">
        <f t="shared" si="1"/>
        <v>Sale</v>
      </c>
      <c r="K26" s="5">
        <f t="shared" si="2"/>
        <v>2750</v>
      </c>
    </row>
    <row r="27" spans="1:11">
      <c r="A27" s="6">
        <v>46047</v>
      </c>
      <c r="B27" s="7">
        <v>0.61131944444444442</v>
      </c>
      <c r="C27" s="5" t="s">
        <v>11</v>
      </c>
      <c r="D27" s="5" t="s">
        <v>51</v>
      </c>
      <c r="E27" s="5" t="s">
        <v>13</v>
      </c>
      <c r="H27" s="5">
        <v>360</v>
      </c>
      <c r="I27" s="5" t="str">
        <f t="shared" si="0"/>
        <v>OFFLINE</v>
      </c>
      <c r="J27" s="5" t="str">
        <f t="shared" si="1"/>
        <v>Sale</v>
      </c>
      <c r="K27" s="5">
        <f t="shared" si="2"/>
        <v>360</v>
      </c>
    </row>
    <row r="28" spans="1:11">
      <c r="A28" s="6">
        <v>46047</v>
      </c>
      <c r="B28" s="7">
        <v>0.62155092592592598</v>
      </c>
      <c r="C28" s="5" t="s">
        <v>14</v>
      </c>
      <c r="D28" s="5" t="s">
        <v>52</v>
      </c>
      <c r="E28" s="5" t="s">
        <v>16</v>
      </c>
      <c r="H28" s="5">
        <v>1120</v>
      </c>
      <c r="I28" s="5" t="str">
        <f t="shared" si="0"/>
        <v>OFFLINE</v>
      </c>
      <c r="J28" s="5" t="str">
        <f t="shared" si="1"/>
        <v>Sale</v>
      </c>
      <c r="K28" s="5">
        <f t="shared" si="2"/>
        <v>1120</v>
      </c>
    </row>
    <row r="29" spans="1:11">
      <c r="A29" s="6">
        <v>46047</v>
      </c>
      <c r="B29" s="7">
        <v>0.63320601851851854</v>
      </c>
      <c r="C29" s="5" t="s">
        <v>8</v>
      </c>
      <c r="D29" s="5" t="s">
        <v>53</v>
      </c>
      <c r="E29" s="5" t="s">
        <v>10</v>
      </c>
      <c r="H29" s="5">
        <v>-450</v>
      </c>
      <c r="I29" s="5" t="str">
        <f t="shared" si="0"/>
        <v>OFFLINE</v>
      </c>
      <c r="J29" s="5" t="str">
        <f t="shared" si="1"/>
        <v>Return</v>
      </c>
      <c r="K29" s="5">
        <f t="shared" si="2"/>
        <v>450</v>
      </c>
    </row>
    <row r="30" spans="1:11">
      <c r="A30" s="6">
        <v>46047</v>
      </c>
      <c r="B30" s="7">
        <v>0.64486111111111111</v>
      </c>
      <c r="C30" s="5" t="s">
        <v>11</v>
      </c>
      <c r="D30" s="5" t="s">
        <v>54</v>
      </c>
      <c r="E30" s="5" t="s">
        <v>13</v>
      </c>
      <c r="F30" s="5" t="s">
        <v>55</v>
      </c>
      <c r="G30" s="5" t="s">
        <v>56</v>
      </c>
      <c r="H30" s="5">
        <v>690</v>
      </c>
      <c r="I30" s="5" t="str">
        <f t="shared" si="0"/>
        <v>ONLINE</v>
      </c>
      <c r="J30" s="5" t="str">
        <f t="shared" si="1"/>
        <v>Sale</v>
      </c>
      <c r="K30" s="5">
        <f t="shared" si="2"/>
        <v>690</v>
      </c>
    </row>
    <row r="31" spans="1:11">
      <c r="A31" s="6">
        <v>46047</v>
      </c>
      <c r="B31" s="7">
        <v>0.65641203703703699</v>
      </c>
      <c r="C31" s="5" t="s">
        <v>14</v>
      </c>
      <c r="D31" s="5" t="s">
        <v>57</v>
      </c>
      <c r="E31" s="5" t="s">
        <v>16</v>
      </c>
      <c r="H31" s="5">
        <v>260</v>
      </c>
      <c r="I31" s="5" t="str">
        <f t="shared" si="0"/>
        <v>OFFLINE</v>
      </c>
      <c r="J31" s="5" t="str">
        <f t="shared" si="1"/>
        <v>Sale</v>
      </c>
      <c r="K31" s="5">
        <f t="shared" si="2"/>
        <v>260</v>
      </c>
    </row>
    <row r="32" spans="1:11">
      <c r="A32" s="6">
        <v>46047</v>
      </c>
      <c r="B32" s="7">
        <v>0.66872685185185188</v>
      </c>
      <c r="C32" s="5" t="s">
        <v>8</v>
      </c>
      <c r="D32" s="5" t="s">
        <v>58</v>
      </c>
      <c r="E32" s="5" t="s">
        <v>10</v>
      </c>
      <c r="H32" s="5">
        <v>980</v>
      </c>
      <c r="I32" s="5" t="str">
        <f t="shared" si="0"/>
        <v>OFFLINE</v>
      </c>
      <c r="J32" s="5" t="str">
        <f t="shared" si="1"/>
        <v>Sale</v>
      </c>
      <c r="K32" s="5">
        <f t="shared" si="2"/>
        <v>980</v>
      </c>
    </row>
    <row r="33" spans="1:11">
      <c r="A33" s="6">
        <v>46047</v>
      </c>
      <c r="B33" s="7">
        <v>0.67943287037037037</v>
      </c>
      <c r="C33" s="5" t="s">
        <v>11</v>
      </c>
      <c r="D33" s="5" t="s">
        <v>59</v>
      </c>
      <c r="E33" s="5" t="s">
        <v>13</v>
      </c>
      <c r="H33" s="5">
        <v>1430</v>
      </c>
      <c r="I33" s="5" t="str">
        <f t="shared" si="0"/>
        <v>OFFLINE</v>
      </c>
      <c r="J33" s="5" t="str">
        <f t="shared" si="1"/>
        <v>Sale</v>
      </c>
      <c r="K33" s="5">
        <f t="shared" si="2"/>
        <v>1430</v>
      </c>
    </row>
    <row r="34" spans="1:11">
      <c r="A34" s="6">
        <v>46047</v>
      </c>
      <c r="B34" s="7">
        <v>0.69075231481481481</v>
      </c>
      <c r="C34" s="5" t="s">
        <v>14</v>
      </c>
      <c r="D34" s="5" t="s">
        <v>60</v>
      </c>
      <c r="E34" s="5" t="s">
        <v>16</v>
      </c>
      <c r="F34" s="5" t="s">
        <v>61</v>
      </c>
      <c r="G34" s="5" t="s">
        <v>62</v>
      </c>
      <c r="H34" s="5">
        <v>4120</v>
      </c>
      <c r="I34" s="5" t="str">
        <f t="shared" si="0"/>
        <v>ONLINE</v>
      </c>
      <c r="J34" s="5" t="str">
        <f t="shared" si="1"/>
        <v>Sale</v>
      </c>
      <c r="K34" s="5">
        <f t="shared" si="2"/>
        <v>4120</v>
      </c>
    </row>
    <row r="35" spans="1:11">
      <c r="A35" s="6">
        <v>46047</v>
      </c>
      <c r="B35" s="7">
        <v>0.70149305555555552</v>
      </c>
      <c r="C35" s="5" t="s">
        <v>8</v>
      </c>
      <c r="D35" s="5" t="s">
        <v>63</v>
      </c>
      <c r="E35" s="5" t="s">
        <v>10</v>
      </c>
      <c r="H35" s="5">
        <v>180</v>
      </c>
      <c r="I35" s="5" t="str">
        <f t="shared" si="0"/>
        <v>OFFLINE</v>
      </c>
      <c r="J35" s="5" t="str">
        <f t="shared" si="1"/>
        <v>Sale</v>
      </c>
      <c r="K35" s="5">
        <f t="shared" si="2"/>
        <v>180</v>
      </c>
    </row>
    <row r="36" spans="1:11">
      <c r="A36" s="6">
        <v>46047</v>
      </c>
      <c r="B36" s="7">
        <v>0.71292824074074079</v>
      </c>
      <c r="C36" s="5" t="s">
        <v>11</v>
      </c>
      <c r="D36" s="5" t="s">
        <v>64</v>
      </c>
      <c r="E36" s="5" t="s">
        <v>13</v>
      </c>
      <c r="H36" s="5">
        <v>-210</v>
      </c>
      <c r="I36" s="5" t="str">
        <f t="shared" si="0"/>
        <v>OFFLINE</v>
      </c>
      <c r="J36" s="5" t="str">
        <f t="shared" si="1"/>
        <v>Return</v>
      </c>
      <c r="K36" s="5">
        <f t="shared" si="2"/>
        <v>210</v>
      </c>
    </row>
    <row r="37" spans="1:11">
      <c r="A37" s="6">
        <v>46047</v>
      </c>
      <c r="B37" s="7">
        <v>0.72423611111111108</v>
      </c>
      <c r="C37" s="5" t="s">
        <v>14</v>
      </c>
      <c r="D37" s="5" t="s">
        <v>65</v>
      </c>
      <c r="E37" s="5" t="s">
        <v>16</v>
      </c>
      <c r="H37" s="5">
        <v>760</v>
      </c>
      <c r="I37" s="5" t="str">
        <f t="shared" si="0"/>
        <v>OFFLINE</v>
      </c>
      <c r="J37" s="5" t="str">
        <f t="shared" si="1"/>
        <v>Sale</v>
      </c>
      <c r="K37" s="5">
        <f t="shared" si="2"/>
        <v>760</v>
      </c>
    </row>
    <row r="38" spans="1:11">
      <c r="A38" s="6">
        <v>46047</v>
      </c>
      <c r="B38" s="7">
        <v>0.7357407407407407</v>
      </c>
      <c r="C38" s="5" t="s">
        <v>8</v>
      </c>
      <c r="D38" s="5" t="s">
        <v>66</v>
      </c>
      <c r="E38" s="5" t="s">
        <v>10</v>
      </c>
      <c r="F38" s="5" t="s">
        <v>67</v>
      </c>
      <c r="G38" s="5" t="s">
        <v>68</v>
      </c>
      <c r="H38" s="5">
        <v>990</v>
      </c>
      <c r="I38" s="5" t="str">
        <f t="shared" si="0"/>
        <v>ONLINE</v>
      </c>
      <c r="J38" s="5" t="str">
        <f t="shared" si="1"/>
        <v>Sale</v>
      </c>
      <c r="K38" s="5">
        <f t="shared" si="2"/>
        <v>990</v>
      </c>
    </row>
    <row r="39" spans="1:11">
      <c r="A39" s="6">
        <v>46047</v>
      </c>
      <c r="B39" s="7">
        <v>0.74706018518518513</v>
      </c>
      <c r="C39" s="5" t="s">
        <v>11</v>
      </c>
      <c r="D39" s="5" t="s">
        <v>69</v>
      </c>
      <c r="E39" s="5" t="s">
        <v>13</v>
      </c>
      <c r="H39" s="5">
        <v>430</v>
      </c>
      <c r="I39" s="5" t="str">
        <f t="shared" si="0"/>
        <v>OFFLINE</v>
      </c>
      <c r="J39" s="5" t="str">
        <f t="shared" si="1"/>
        <v>Sale</v>
      </c>
      <c r="K39" s="5">
        <f t="shared" si="2"/>
        <v>430</v>
      </c>
    </row>
    <row r="40" spans="1:11">
      <c r="A40" s="6">
        <v>46047</v>
      </c>
      <c r="B40" s="7">
        <v>0.75855324074074071</v>
      </c>
      <c r="C40" s="5" t="s">
        <v>14</v>
      </c>
      <c r="D40" s="5" t="s">
        <v>70</v>
      </c>
      <c r="E40" s="5" t="s">
        <v>16</v>
      </c>
      <c r="H40" s="5">
        <v>1580</v>
      </c>
      <c r="I40" s="5" t="str">
        <f t="shared" si="0"/>
        <v>OFFLINE</v>
      </c>
      <c r="J40" s="5" t="str">
        <f t="shared" si="1"/>
        <v>Sale</v>
      </c>
      <c r="K40" s="5">
        <f t="shared" si="2"/>
        <v>1580</v>
      </c>
    </row>
    <row r="41" spans="1:11">
      <c r="A41" s="6">
        <v>46047</v>
      </c>
      <c r="B41" s="7">
        <v>0.76949074074074075</v>
      </c>
      <c r="C41" s="5" t="s">
        <v>8</v>
      </c>
      <c r="D41" s="5" t="s">
        <v>71</v>
      </c>
      <c r="E41" s="5" t="s">
        <v>10</v>
      </c>
      <c r="H41" s="5">
        <v>220</v>
      </c>
      <c r="I41" s="5" t="str">
        <f t="shared" si="0"/>
        <v>OFFLINE</v>
      </c>
      <c r="J41" s="5" t="str">
        <f t="shared" si="1"/>
        <v>Sale</v>
      </c>
      <c r="K41" s="5">
        <f t="shared" si="2"/>
        <v>220</v>
      </c>
    </row>
    <row r="42" spans="1:11">
      <c r="A42" s="6">
        <v>46047</v>
      </c>
      <c r="B42" s="7">
        <v>0.78114583333333332</v>
      </c>
      <c r="C42" s="5" t="s">
        <v>11</v>
      </c>
      <c r="D42" s="5" t="s">
        <v>72</v>
      </c>
      <c r="E42" s="5" t="s">
        <v>13</v>
      </c>
      <c r="F42" s="5" t="s">
        <v>73</v>
      </c>
      <c r="G42" s="5" t="s">
        <v>74</v>
      </c>
      <c r="H42" s="5">
        <v>3050</v>
      </c>
      <c r="I42" s="5" t="str">
        <f t="shared" si="0"/>
        <v>ONLINE</v>
      </c>
      <c r="J42" s="5" t="str">
        <f t="shared" si="1"/>
        <v>Sale</v>
      </c>
      <c r="K42" s="5">
        <f t="shared" si="2"/>
        <v>3050</v>
      </c>
    </row>
    <row r="43" spans="1:11">
      <c r="A43" s="6">
        <v>46047</v>
      </c>
      <c r="B43" s="7">
        <v>0.79274305555555558</v>
      </c>
      <c r="C43" s="5" t="s">
        <v>14</v>
      </c>
      <c r="D43" s="5" t="s">
        <v>75</v>
      </c>
      <c r="E43" s="5" t="s">
        <v>16</v>
      </c>
      <c r="H43" s="5">
        <v>640</v>
      </c>
      <c r="I43" s="5" t="str">
        <f t="shared" si="0"/>
        <v>OFFLINE</v>
      </c>
      <c r="J43" s="5" t="str">
        <f t="shared" si="1"/>
        <v>Sale</v>
      </c>
      <c r="K43" s="5">
        <f t="shared" si="2"/>
        <v>640</v>
      </c>
    </row>
    <row r="44" spans="1:11">
      <c r="A44" s="6">
        <v>46047</v>
      </c>
      <c r="B44" s="7">
        <v>0.80424768518518519</v>
      </c>
      <c r="C44" s="5" t="s">
        <v>8</v>
      </c>
      <c r="D44" s="5" t="s">
        <v>76</v>
      </c>
      <c r="E44" s="5" t="s">
        <v>10</v>
      </c>
      <c r="H44" s="5">
        <v>-150</v>
      </c>
      <c r="I44" s="5" t="str">
        <f t="shared" si="0"/>
        <v>OFFLINE</v>
      </c>
      <c r="J44" s="5" t="str">
        <f t="shared" si="1"/>
        <v>Return</v>
      </c>
      <c r="K44" s="5">
        <f t="shared" si="2"/>
        <v>150</v>
      </c>
    </row>
    <row r="45" spans="1:11">
      <c r="A45" s="6">
        <v>46047</v>
      </c>
      <c r="B45" s="7">
        <v>0.81576388888888884</v>
      </c>
      <c r="C45" s="5" t="s">
        <v>11</v>
      </c>
      <c r="D45" s="5" t="s">
        <v>77</v>
      </c>
      <c r="E45" s="5" t="s">
        <v>13</v>
      </c>
      <c r="H45" s="5">
        <v>870</v>
      </c>
      <c r="I45" s="5" t="str">
        <f t="shared" si="0"/>
        <v>OFFLINE</v>
      </c>
      <c r="J45" s="5" t="str">
        <f t="shared" si="1"/>
        <v>Sale</v>
      </c>
      <c r="K45" s="5">
        <f t="shared" si="2"/>
        <v>870</v>
      </c>
    </row>
    <row r="46" spans="1:11">
      <c r="A46" s="6">
        <v>46047</v>
      </c>
      <c r="B46" s="7">
        <v>0.82737268518518514</v>
      </c>
      <c r="C46" s="5" t="s">
        <v>14</v>
      </c>
      <c r="D46" s="5" t="s">
        <v>78</v>
      </c>
      <c r="E46" s="5" t="s">
        <v>16</v>
      </c>
      <c r="F46" s="5" t="s">
        <v>79</v>
      </c>
      <c r="G46" s="5" t="s">
        <v>80</v>
      </c>
      <c r="H46" s="5">
        <v>1780</v>
      </c>
      <c r="I46" s="5" t="str">
        <f t="shared" si="0"/>
        <v>ONLINE</v>
      </c>
      <c r="J46" s="5" t="str">
        <f t="shared" si="1"/>
        <v>Sale</v>
      </c>
      <c r="K46" s="5">
        <f t="shared" si="2"/>
        <v>1780</v>
      </c>
    </row>
    <row r="47" spans="1:11">
      <c r="A47" s="6">
        <v>46047</v>
      </c>
      <c r="B47" s="7">
        <v>0.83953703703703708</v>
      </c>
      <c r="C47" s="5" t="s">
        <v>8</v>
      </c>
      <c r="D47" s="5" t="s">
        <v>81</v>
      </c>
      <c r="E47" s="5" t="s">
        <v>10</v>
      </c>
      <c r="H47" s="5">
        <v>490</v>
      </c>
      <c r="I47" s="5" t="str">
        <f t="shared" si="0"/>
        <v>OFFLINE</v>
      </c>
      <c r="J47" s="5" t="str">
        <f t="shared" si="1"/>
        <v>Sale</v>
      </c>
      <c r="K47" s="5">
        <f t="shared" si="2"/>
        <v>490</v>
      </c>
    </row>
    <row r="48" spans="1:11">
      <c r="A48" s="6">
        <v>46047</v>
      </c>
      <c r="B48" s="7">
        <v>0.85155092592592596</v>
      </c>
      <c r="C48" s="5" t="s">
        <v>11</v>
      </c>
      <c r="D48" s="5" t="s">
        <v>82</v>
      </c>
      <c r="E48" s="5" t="s">
        <v>13</v>
      </c>
      <c r="H48" s="5">
        <v>265</v>
      </c>
      <c r="I48" s="5" t="str">
        <f t="shared" si="0"/>
        <v>OFFLINE</v>
      </c>
      <c r="J48" s="5" t="str">
        <f t="shared" si="1"/>
        <v>Sale</v>
      </c>
      <c r="K48" s="5">
        <f t="shared" si="2"/>
        <v>265</v>
      </c>
    </row>
    <row r="49" spans="1:11">
      <c r="A49" s="6">
        <v>46047</v>
      </c>
      <c r="B49" s="7">
        <v>0.86434027777777778</v>
      </c>
      <c r="C49" s="5" t="s">
        <v>14</v>
      </c>
      <c r="D49" s="5" t="s">
        <v>83</v>
      </c>
      <c r="E49" s="5" t="s">
        <v>16</v>
      </c>
      <c r="H49" s="5">
        <v>980</v>
      </c>
      <c r="I49" s="5" t="str">
        <f t="shared" si="0"/>
        <v>OFFLINE</v>
      </c>
      <c r="J49" s="5" t="str">
        <f t="shared" si="1"/>
        <v>Sale</v>
      </c>
      <c r="K49" s="5">
        <f t="shared" si="2"/>
        <v>980</v>
      </c>
    </row>
    <row r="50" spans="1:11">
      <c r="A50" s="6">
        <v>46047</v>
      </c>
      <c r="B50" s="7">
        <v>0.87651620370370376</v>
      </c>
      <c r="C50" s="5" t="s">
        <v>8</v>
      </c>
      <c r="D50" s="5" t="s">
        <v>84</v>
      </c>
      <c r="E50" s="5" t="s">
        <v>10</v>
      </c>
      <c r="F50" s="5" t="s">
        <v>85</v>
      </c>
      <c r="G50" s="5" t="s">
        <v>86</v>
      </c>
      <c r="H50" s="5">
        <v>2250</v>
      </c>
      <c r="I50" s="5" t="str">
        <f t="shared" si="0"/>
        <v>ONLINE</v>
      </c>
      <c r="J50" s="5" t="str">
        <f t="shared" si="1"/>
        <v>Sale</v>
      </c>
      <c r="K50" s="5">
        <f t="shared" si="2"/>
        <v>2250</v>
      </c>
    </row>
    <row r="51" spans="1:11">
      <c r="A51" s="6">
        <v>46047</v>
      </c>
      <c r="B51" s="7">
        <v>0.88873842592592589</v>
      </c>
      <c r="C51" s="5" t="s">
        <v>11</v>
      </c>
      <c r="D51" s="5" t="s">
        <v>87</v>
      </c>
      <c r="E51" s="5" t="s">
        <v>13</v>
      </c>
      <c r="H51" s="5">
        <v>340</v>
      </c>
      <c r="I51" s="5" t="str">
        <f t="shared" si="0"/>
        <v>OFFLINE</v>
      </c>
      <c r="J51" s="5" t="str">
        <f t="shared" si="1"/>
        <v>Sale</v>
      </c>
      <c r="K51" s="5">
        <f t="shared" si="2"/>
        <v>340</v>
      </c>
    </row>
    <row r="52" spans="1:11">
      <c r="A52" s="6">
        <v>46047</v>
      </c>
      <c r="B52" s="7">
        <v>0.90144675925925921</v>
      </c>
      <c r="C52" s="5" t="s">
        <v>14</v>
      </c>
      <c r="D52" s="5" t="s">
        <v>88</v>
      </c>
      <c r="E52" s="5" t="s">
        <v>16</v>
      </c>
      <c r="H52" s="5">
        <v>1590</v>
      </c>
      <c r="I52" s="5" t="str">
        <f t="shared" si="0"/>
        <v>OFFLINE</v>
      </c>
      <c r="J52" s="5" t="str">
        <f t="shared" si="1"/>
        <v>Sale</v>
      </c>
      <c r="K52" s="5">
        <f t="shared" si="2"/>
        <v>1590</v>
      </c>
    </row>
    <row r="53" spans="1:11">
      <c r="A53" s="6">
        <v>46047</v>
      </c>
      <c r="B53" s="7">
        <v>0.93559027777777781</v>
      </c>
      <c r="C53" s="5" t="s">
        <v>11</v>
      </c>
      <c r="D53" s="5" t="s">
        <v>89</v>
      </c>
      <c r="E53" s="5" t="s">
        <v>13</v>
      </c>
      <c r="H53" s="5">
        <v>180</v>
      </c>
      <c r="I53" s="5" t="str">
        <f t="shared" si="0"/>
        <v>OFFLINE</v>
      </c>
      <c r="J53" s="5" t="str">
        <f t="shared" si="1"/>
        <v>Sale</v>
      </c>
      <c r="K53" s="5">
        <f t="shared" si="2"/>
        <v>180</v>
      </c>
    </row>
    <row r="54" spans="1:11">
      <c r="A54" s="6">
        <v>46047</v>
      </c>
      <c r="B54" s="7">
        <v>0.93590277777777775</v>
      </c>
      <c r="C54" s="5" t="s">
        <v>14</v>
      </c>
      <c r="D54" s="5" t="s">
        <v>90</v>
      </c>
      <c r="E54" s="5" t="s">
        <v>16</v>
      </c>
      <c r="H54" s="5">
        <v>420</v>
      </c>
      <c r="I54" s="5" t="str">
        <f t="shared" si="0"/>
        <v>OFFLINE</v>
      </c>
      <c r="J54" s="5" t="str">
        <f t="shared" si="1"/>
        <v>Sale</v>
      </c>
      <c r="K54" s="5">
        <f t="shared" si="2"/>
        <v>420</v>
      </c>
    </row>
    <row r="55" spans="1:11">
      <c r="A55" s="6">
        <v>46047</v>
      </c>
      <c r="B55" s="7">
        <v>0.93616898148148153</v>
      </c>
      <c r="C55" s="5" t="s">
        <v>8</v>
      </c>
      <c r="D55" s="5" t="s">
        <v>91</v>
      </c>
      <c r="E55" s="5" t="s">
        <v>10</v>
      </c>
      <c r="F55" s="5" t="s">
        <v>92</v>
      </c>
      <c r="G55" s="5" t="s">
        <v>93</v>
      </c>
      <c r="H55" s="5">
        <v>2150</v>
      </c>
      <c r="I55" s="5" t="str">
        <f t="shared" si="0"/>
        <v>ONLINE</v>
      </c>
      <c r="J55" s="5" t="str">
        <f t="shared" si="1"/>
        <v>Sale</v>
      </c>
      <c r="K55" s="5">
        <f t="shared" si="2"/>
        <v>2150</v>
      </c>
    </row>
    <row r="56" spans="1:11">
      <c r="A56" s="6">
        <v>46047</v>
      </c>
      <c r="B56" s="7">
        <v>0.93646990740740743</v>
      </c>
      <c r="C56" s="5" t="s">
        <v>11</v>
      </c>
      <c r="D56" s="5" t="s">
        <v>94</v>
      </c>
      <c r="E56" s="5" t="s">
        <v>13</v>
      </c>
      <c r="H56" s="5">
        <v>95</v>
      </c>
      <c r="I56" s="5" t="str">
        <f t="shared" si="0"/>
        <v>OFFLINE</v>
      </c>
      <c r="J56" s="5" t="str">
        <f t="shared" si="1"/>
        <v>Sale</v>
      </c>
      <c r="K56" s="5">
        <f t="shared" si="2"/>
        <v>95</v>
      </c>
    </row>
    <row r="57" spans="1:11">
      <c r="A57" s="6">
        <v>46047</v>
      </c>
      <c r="B57" s="7">
        <v>0.93678240740740737</v>
      </c>
      <c r="C57" s="5" t="s">
        <v>14</v>
      </c>
      <c r="D57" s="5" t="s">
        <v>95</v>
      </c>
      <c r="E57" s="5" t="s">
        <v>16</v>
      </c>
      <c r="H57" s="5">
        <v>760</v>
      </c>
      <c r="I57" s="5" t="str">
        <f t="shared" si="0"/>
        <v>OFFLINE</v>
      </c>
      <c r="J57" s="5" t="str">
        <f t="shared" si="1"/>
        <v>Sale</v>
      </c>
      <c r="K57" s="5">
        <f t="shared" si="2"/>
        <v>760</v>
      </c>
    </row>
    <row r="58" spans="1:11">
      <c r="A58" s="6">
        <v>46047</v>
      </c>
      <c r="B58" s="7">
        <v>0.93694444444444447</v>
      </c>
      <c r="C58" s="5" t="s">
        <v>8</v>
      </c>
      <c r="D58" s="5" t="s">
        <v>96</v>
      </c>
      <c r="E58" s="5" t="s">
        <v>10</v>
      </c>
      <c r="H58" s="5">
        <v>340</v>
      </c>
      <c r="I58" s="5" t="str">
        <f t="shared" si="0"/>
        <v>OFFLINE</v>
      </c>
      <c r="J58" s="5" t="str">
        <f t="shared" si="1"/>
        <v>Sale</v>
      </c>
      <c r="K58" s="5">
        <f t="shared" si="2"/>
        <v>340</v>
      </c>
    </row>
    <row r="59" spans="1:11">
      <c r="A59" s="6">
        <v>46047</v>
      </c>
      <c r="B59" s="7">
        <v>0.93712962962962965</v>
      </c>
      <c r="C59" s="5" t="s">
        <v>11</v>
      </c>
      <c r="D59" s="5" t="s">
        <v>97</v>
      </c>
      <c r="E59" s="5" t="s">
        <v>13</v>
      </c>
      <c r="F59" s="5" t="s">
        <v>98</v>
      </c>
      <c r="G59" s="5" t="s">
        <v>99</v>
      </c>
      <c r="H59" s="5">
        <v>1290</v>
      </c>
      <c r="I59" s="5" t="str">
        <f t="shared" si="0"/>
        <v>ONLINE</v>
      </c>
      <c r="J59" s="5" t="str">
        <f t="shared" si="1"/>
        <v>Sale</v>
      </c>
      <c r="K59" s="5">
        <f t="shared" si="2"/>
        <v>1290</v>
      </c>
    </row>
    <row r="60" spans="1:11">
      <c r="A60" s="6">
        <v>46047</v>
      </c>
      <c r="B60" s="7">
        <v>0.9372800925925926</v>
      </c>
      <c r="C60" s="5" t="s">
        <v>14</v>
      </c>
      <c r="D60" s="5" t="s">
        <v>100</v>
      </c>
      <c r="E60" s="5" t="s">
        <v>16</v>
      </c>
      <c r="H60" s="5">
        <v>210</v>
      </c>
      <c r="I60" s="5" t="str">
        <f t="shared" si="0"/>
        <v>OFFLINE</v>
      </c>
      <c r="J60" s="5" t="str">
        <f t="shared" si="1"/>
        <v>Sale</v>
      </c>
      <c r="K60" s="5">
        <f t="shared" si="2"/>
        <v>210</v>
      </c>
    </row>
    <row r="61" spans="1:11">
      <c r="A61" s="6">
        <v>46047</v>
      </c>
      <c r="B61" s="7">
        <v>0.93744212962962958</v>
      </c>
      <c r="C61" s="5" t="s">
        <v>8</v>
      </c>
      <c r="D61" s="5" t="s">
        <v>101</v>
      </c>
      <c r="E61" s="5" t="s">
        <v>10</v>
      </c>
      <c r="H61" s="5">
        <v>560</v>
      </c>
      <c r="I61" s="5" t="str">
        <f t="shared" si="0"/>
        <v>OFFLINE</v>
      </c>
      <c r="J61" s="5" t="str">
        <f t="shared" si="1"/>
        <v>Sale</v>
      </c>
      <c r="K61" s="5">
        <f t="shared" si="2"/>
        <v>560</v>
      </c>
    </row>
    <row r="62" spans="1:11">
      <c r="A62" s="6">
        <v>46047</v>
      </c>
      <c r="B62" s="7">
        <v>0.93751157407407404</v>
      </c>
      <c r="C62" s="5" t="s">
        <v>11</v>
      </c>
      <c r="D62" s="5" t="s">
        <v>102</v>
      </c>
      <c r="E62" s="5" t="s">
        <v>13</v>
      </c>
      <c r="H62" s="5">
        <v>-150</v>
      </c>
      <c r="I62" s="5" t="str">
        <f t="shared" si="0"/>
        <v>OFFLINE</v>
      </c>
      <c r="J62" s="5" t="str">
        <f t="shared" si="1"/>
        <v>Return</v>
      </c>
      <c r="K62" s="5">
        <f t="shared" si="2"/>
        <v>150</v>
      </c>
    </row>
    <row r="63" spans="1:11">
      <c r="A63" s="6">
        <v>46047</v>
      </c>
      <c r="B63" s="7">
        <v>0.88215277777777779</v>
      </c>
      <c r="C63" s="5" t="s">
        <v>8</v>
      </c>
      <c r="D63" s="5" t="s">
        <v>103</v>
      </c>
      <c r="E63" s="5" t="s">
        <v>10</v>
      </c>
      <c r="H63" s="5">
        <v>880</v>
      </c>
      <c r="I63" s="5" t="str">
        <f t="shared" si="0"/>
        <v>OFFLINE</v>
      </c>
      <c r="J63" s="5" t="str">
        <f t="shared" si="1"/>
        <v>Sale</v>
      </c>
      <c r="K63" s="5">
        <f t="shared" si="2"/>
        <v>880</v>
      </c>
    </row>
    <row r="64" spans="1:11">
      <c r="A64" s="6">
        <v>46047</v>
      </c>
      <c r="B64" s="7">
        <v>0.8838773148148148</v>
      </c>
      <c r="C64" s="5" t="s">
        <v>11</v>
      </c>
      <c r="D64" s="5" t="s">
        <v>104</v>
      </c>
      <c r="E64" s="5" t="s">
        <v>13</v>
      </c>
      <c r="H64" s="5">
        <v>240</v>
      </c>
      <c r="I64" s="5" t="str">
        <f t="shared" si="0"/>
        <v>OFFLINE</v>
      </c>
      <c r="J64" s="5" t="str">
        <f t="shared" si="1"/>
        <v>Sale</v>
      </c>
      <c r="K64" s="5">
        <f t="shared" si="2"/>
        <v>240</v>
      </c>
    </row>
    <row r="65" spans="1:11">
      <c r="A65" s="6">
        <v>46047</v>
      </c>
      <c r="B65" s="7">
        <v>0.88579861111111113</v>
      </c>
      <c r="C65" s="5" t="s">
        <v>14</v>
      </c>
      <c r="D65" s="5" t="s">
        <v>105</v>
      </c>
      <c r="E65" s="5" t="s">
        <v>16</v>
      </c>
      <c r="F65" s="5" t="s">
        <v>106</v>
      </c>
      <c r="G65" s="5" t="s">
        <v>107</v>
      </c>
      <c r="H65" s="5">
        <v>3450</v>
      </c>
      <c r="I65" s="5" t="str">
        <f t="shared" si="0"/>
        <v>ONLINE</v>
      </c>
      <c r="J65" s="5" t="str">
        <f t="shared" si="1"/>
        <v>Sale</v>
      </c>
      <c r="K65" s="5">
        <f t="shared" si="2"/>
        <v>3450</v>
      </c>
    </row>
    <row r="66" spans="1:11">
      <c r="A66" s="6">
        <v>46047</v>
      </c>
      <c r="B66" s="7">
        <v>0.88755787037037037</v>
      </c>
      <c r="C66" s="5" t="s">
        <v>8</v>
      </c>
      <c r="D66" s="5" t="s">
        <v>108</v>
      </c>
      <c r="E66" s="5" t="s">
        <v>10</v>
      </c>
      <c r="H66" s="5">
        <v>130</v>
      </c>
      <c r="I66" s="5" t="str">
        <f t="shared" ref="I66:I129" si="3">IF(F66="","OFFLINE","ONLINE")</f>
        <v>OFFLINE</v>
      </c>
      <c r="J66" s="5" t="str">
        <f t="shared" ref="J66:J129" si="4">IF(H66 &lt; 0, "Return", "Sale")</f>
        <v>Sale</v>
      </c>
      <c r="K66" s="5">
        <f t="shared" ref="K66:K129" si="5">ABS(H66)</f>
        <v>130</v>
      </c>
    </row>
    <row r="67" spans="1:11">
      <c r="A67" s="6">
        <v>46047</v>
      </c>
      <c r="B67" s="7">
        <v>0.89015046296296296</v>
      </c>
      <c r="C67" s="5" t="s">
        <v>11</v>
      </c>
      <c r="D67" s="5" t="s">
        <v>109</v>
      </c>
      <c r="E67" s="5" t="s">
        <v>13</v>
      </c>
      <c r="H67" s="5">
        <v>670</v>
      </c>
      <c r="I67" s="5" t="str">
        <f t="shared" si="3"/>
        <v>OFFLINE</v>
      </c>
      <c r="J67" s="5" t="str">
        <f t="shared" si="4"/>
        <v>Sale</v>
      </c>
      <c r="K67" s="5">
        <f t="shared" si="5"/>
        <v>670</v>
      </c>
    </row>
    <row r="68" spans="1:11">
      <c r="A68" s="6">
        <v>46047</v>
      </c>
      <c r="B68" s="7">
        <v>0.8918518518518519</v>
      </c>
      <c r="C68" s="5" t="s">
        <v>14</v>
      </c>
      <c r="D68" s="5" t="s">
        <v>110</v>
      </c>
      <c r="E68" s="5" t="s">
        <v>16</v>
      </c>
      <c r="H68" s="5">
        <v>420</v>
      </c>
      <c r="I68" s="5" t="str">
        <f t="shared" si="3"/>
        <v>OFFLINE</v>
      </c>
      <c r="J68" s="5" t="str">
        <f t="shared" si="4"/>
        <v>Sale</v>
      </c>
      <c r="K68" s="5">
        <f t="shared" si="5"/>
        <v>420</v>
      </c>
    </row>
    <row r="69" spans="1:11">
      <c r="A69" s="6">
        <v>46047</v>
      </c>
      <c r="B69" s="7">
        <v>0.89418981481481485</v>
      </c>
      <c r="C69" s="5" t="s">
        <v>8</v>
      </c>
      <c r="D69" s="5" t="s">
        <v>111</v>
      </c>
      <c r="E69" s="5" t="s">
        <v>10</v>
      </c>
      <c r="F69" s="5" t="s">
        <v>112</v>
      </c>
      <c r="G69" s="5" t="s">
        <v>113</v>
      </c>
      <c r="H69" s="5">
        <v>1980</v>
      </c>
      <c r="I69" s="5" t="str">
        <f t="shared" si="3"/>
        <v>ONLINE</v>
      </c>
      <c r="J69" s="5" t="str">
        <f t="shared" si="4"/>
        <v>Sale</v>
      </c>
      <c r="K69" s="5">
        <f t="shared" si="5"/>
        <v>1980</v>
      </c>
    </row>
    <row r="70" spans="1:11">
      <c r="A70" s="6">
        <v>46047</v>
      </c>
      <c r="B70" s="7">
        <v>0.89643518518518517</v>
      </c>
      <c r="C70" s="5" t="s">
        <v>11</v>
      </c>
      <c r="D70" s="5" t="s">
        <v>114</v>
      </c>
      <c r="E70" s="5" t="s">
        <v>13</v>
      </c>
      <c r="H70" s="5">
        <v>510</v>
      </c>
      <c r="I70" s="5" t="str">
        <f t="shared" si="3"/>
        <v>OFFLINE</v>
      </c>
      <c r="J70" s="5" t="str">
        <f t="shared" si="4"/>
        <v>Sale</v>
      </c>
      <c r="K70" s="5">
        <f t="shared" si="5"/>
        <v>510</v>
      </c>
    </row>
    <row r="71" spans="1:11">
      <c r="A71" s="6">
        <v>46047</v>
      </c>
      <c r="B71" s="7">
        <v>0.89869212962962963</v>
      </c>
      <c r="C71" s="5" t="s">
        <v>14</v>
      </c>
      <c r="D71" s="5" t="s">
        <v>115</v>
      </c>
      <c r="E71" s="5" t="s">
        <v>16</v>
      </c>
      <c r="H71" s="5">
        <v>90</v>
      </c>
      <c r="I71" s="5" t="str">
        <f t="shared" si="3"/>
        <v>OFFLINE</v>
      </c>
      <c r="J71" s="5" t="str">
        <f t="shared" si="4"/>
        <v>Sale</v>
      </c>
      <c r="K71" s="5">
        <f t="shared" si="5"/>
        <v>90</v>
      </c>
    </row>
    <row r="72" spans="1:11">
      <c r="A72" s="6">
        <v>46047</v>
      </c>
      <c r="B72" s="7">
        <v>0.90120370370370373</v>
      </c>
      <c r="C72" s="5" t="s">
        <v>8</v>
      </c>
      <c r="D72" s="5" t="s">
        <v>116</v>
      </c>
      <c r="E72" s="5" t="s">
        <v>10</v>
      </c>
      <c r="H72" s="5">
        <v>1450</v>
      </c>
      <c r="I72" s="5" t="str">
        <f t="shared" si="3"/>
        <v>OFFLINE</v>
      </c>
      <c r="J72" s="5" t="str">
        <f t="shared" si="4"/>
        <v>Sale</v>
      </c>
      <c r="K72" s="5">
        <f t="shared" si="5"/>
        <v>1450</v>
      </c>
    </row>
    <row r="73" spans="1:11">
      <c r="A73" s="6">
        <v>46047</v>
      </c>
      <c r="B73" s="7">
        <v>0.90359953703703699</v>
      </c>
      <c r="C73" s="5" t="s">
        <v>11</v>
      </c>
      <c r="D73" s="5" t="s">
        <v>117</v>
      </c>
      <c r="E73" s="5" t="s">
        <v>13</v>
      </c>
      <c r="H73" s="5">
        <v>-260</v>
      </c>
      <c r="I73" s="5" t="str">
        <f t="shared" si="3"/>
        <v>OFFLINE</v>
      </c>
      <c r="J73" s="5" t="str">
        <f t="shared" si="4"/>
        <v>Return</v>
      </c>
      <c r="K73" s="5">
        <f t="shared" si="5"/>
        <v>260</v>
      </c>
    </row>
    <row r="74" spans="1:11">
      <c r="A74" s="6">
        <v>46047</v>
      </c>
      <c r="B74" s="7">
        <v>0.90589120370370368</v>
      </c>
      <c r="C74" s="5" t="s">
        <v>14</v>
      </c>
      <c r="D74" s="5" t="s">
        <v>118</v>
      </c>
      <c r="E74" s="5" t="s">
        <v>16</v>
      </c>
      <c r="F74" s="5" t="s">
        <v>119</v>
      </c>
      <c r="G74" s="5" t="s">
        <v>120</v>
      </c>
      <c r="H74" s="5">
        <v>2750</v>
      </c>
      <c r="I74" s="5" t="str">
        <f t="shared" si="3"/>
        <v>ONLINE</v>
      </c>
      <c r="J74" s="5" t="str">
        <f t="shared" si="4"/>
        <v>Sale</v>
      </c>
      <c r="K74" s="5">
        <f t="shared" si="5"/>
        <v>2750</v>
      </c>
    </row>
    <row r="75" spans="1:11">
      <c r="A75" s="6">
        <v>46047</v>
      </c>
      <c r="B75" s="7">
        <v>0.90831018518518514</v>
      </c>
      <c r="C75" s="5" t="s">
        <v>8</v>
      </c>
      <c r="D75" s="5" t="s">
        <v>121</v>
      </c>
      <c r="E75" s="5" t="s">
        <v>10</v>
      </c>
      <c r="H75" s="5">
        <v>360</v>
      </c>
      <c r="I75" s="5" t="str">
        <f t="shared" si="3"/>
        <v>OFFLINE</v>
      </c>
      <c r="J75" s="5" t="str">
        <f t="shared" si="4"/>
        <v>Sale</v>
      </c>
      <c r="K75" s="5">
        <f t="shared" si="5"/>
        <v>360</v>
      </c>
    </row>
    <row r="76" spans="1:11">
      <c r="A76" s="6">
        <v>46047</v>
      </c>
      <c r="B76" s="7">
        <v>0.90997685185185184</v>
      </c>
      <c r="C76" s="5" t="s">
        <v>11</v>
      </c>
      <c r="D76" s="5" t="s">
        <v>122</v>
      </c>
      <c r="E76" s="5" t="s">
        <v>13</v>
      </c>
      <c r="H76" s="5">
        <v>820</v>
      </c>
      <c r="I76" s="5" t="str">
        <f t="shared" si="3"/>
        <v>OFFLINE</v>
      </c>
      <c r="J76" s="5" t="str">
        <f t="shared" si="4"/>
        <v>Sale</v>
      </c>
      <c r="K76" s="5">
        <f t="shared" si="5"/>
        <v>820</v>
      </c>
    </row>
    <row r="77" spans="1:11">
      <c r="A77" s="6">
        <v>46047</v>
      </c>
      <c r="B77" s="7">
        <v>0.91228009259259257</v>
      </c>
      <c r="C77" s="5" t="s">
        <v>14</v>
      </c>
      <c r="D77" s="5" t="s">
        <v>123</v>
      </c>
      <c r="E77" s="5" t="s">
        <v>16</v>
      </c>
      <c r="H77" s="5">
        <v>410</v>
      </c>
      <c r="I77" s="5" t="str">
        <f t="shared" si="3"/>
        <v>OFFLINE</v>
      </c>
      <c r="J77" s="5" t="str">
        <f t="shared" si="4"/>
        <v>Sale</v>
      </c>
      <c r="K77" s="5">
        <f t="shared" si="5"/>
        <v>410</v>
      </c>
    </row>
    <row r="78" spans="1:11">
      <c r="A78" s="6">
        <v>46047</v>
      </c>
      <c r="B78" s="7">
        <v>0.84173611111111113</v>
      </c>
      <c r="C78" s="5" t="s">
        <v>8</v>
      </c>
      <c r="D78" s="5" t="s">
        <v>124</v>
      </c>
      <c r="E78" s="5" t="s">
        <v>10</v>
      </c>
      <c r="F78" s="5" t="s">
        <v>125</v>
      </c>
      <c r="G78" s="5" t="s">
        <v>126</v>
      </c>
      <c r="H78" s="5">
        <v>1540</v>
      </c>
      <c r="I78" s="5" t="str">
        <f t="shared" si="3"/>
        <v>ONLINE</v>
      </c>
      <c r="J78" s="5" t="str">
        <f t="shared" si="4"/>
        <v>Sale</v>
      </c>
      <c r="K78" s="5">
        <f t="shared" si="5"/>
        <v>1540</v>
      </c>
    </row>
    <row r="79" spans="1:11">
      <c r="A79" s="6">
        <v>46047</v>
      </c>
      <c r="B79" s="7">
        <v>0.84501157407407412</v>
      </c>
      <c r="C79" s="5" t="s">
        <v>11</v>
      </c>
      <c r="D79" s="5" t="s">
        <v>127</v>
      </c>
      <c r="E79" s="5" t="s">
        <v>13</v>
      </c>
      <c r="H79" s="5">
        <v>260</v>
      </c>
      <c r="I79" s="5" t="str">
        <f t="shared" si="3"/>
        <v>OFFLINE</v>
      </c>
      <c r="J79" s="5" t="str">
        <f t="shared" si="4"/>
        <v>Sale</v>
      </c>
      <c r="K79" s="5">
        <f t="shared" si="5"/>
        <v>260</v>
      </c>
    </row>
    <row r="80" spans="1:11">
      <c r="A80" s="6">
        <v>46047</v>
      </c>
      <c r="B80" s="7">
        <v>0.84834490740740742</v>
      </c>
      <c r="C80" s="5" t="s">
        <v>14</v>
      </c>
      <c r="D80" s="5" t="s">
        <v>128</v>
      </c>
      <c r="E80" s="5" t="s">
        <v>16</v>
      </c>
      <c r="H80" s="5">
        <v>690</v>
      </c>
      <c r="I80" s="5" t="str">
        <f t="shared" si="3"/>
        <v>OFFLINE</v>
      </c>
      <c r="J80" s="5" t="str">
        <f t="shared" si="4"/>
        <v>Sale</v>
      </c>
      <c r="K80" s="5">
        <f t="shared" si="5"/>
        <v>690</v>
      </c>
    </row>
    <row r="81" spans="1:11">
      <c r="A81" s="6">
        <v>46047</v>
      </c>
      <c r="B81" s="7">
        <v>0.85090277777777779</v>
      </c>
      <c r="C81" s="5" t="s">
        <v>8</v>
      </c>
      <c r="D81" s="5" t="s">
        <v>129</v>
      </c>
      <c r="E81" s="5" t="s">
        <v>10</v>
      </c>
      <c r="H81" s="5">
        <v>-320</v>
      </c>
      <c r="I81" s="5" t="str">
        <f t="shared" si="3"/>
        <v>OFFLINE</v>
      </c>
      <c r="J81" s="5" t="str">
        <f t="shared" si="4"/>
        <v>Return</v>
      </c>
      <c r="K81" s="5">
        <f t="shared" si="5"/>
        <v>320</v>
      </c>
    </row>
    <row r="82" spans="1:11">
      <c r="A82" s="6">
        <v>46047</v>
      </c>
      <c r="B82" s="7">
        <v>0.85410879629629632</v>
      </c>
      <c r="C82" s="5" t="s">
        <v>11</v>
      </c>
      <c r="D82" s="5" t="s">
        <v>130</v>
      </c>
      <c r="E82" s="5" t="s">
        <v>13</v>
      </c>
      <c r="H82" s="5">
        <v>1340</v>
      </c>
      <c r="I82" s="5" t="str">
        <f t="shared" si="3"/>
        <v>OFFLINE</v>
      </c>
      <c r="J82" s="5" t="str">
        <f t="shared" si="4"/>
        <v>Sale</v>
      </c>
      <c r="K82" s="5">
        <f t="shared" si="5"/>
        <v>1340</v>
      </c>
    </row>
    <row r="83" spans="1:11">
      <c r="A83" s="6">
        <v>46047</v>
      </c>
      <c r="B83" s="7">
        <v>0.85655092592592597</v>
      </c>
      <c r="C83" s="5" t="s">
        <v>14</v>
      </c>
      <c r="D83" s="5" t="s">
        <v>131</v>
      </c>
      <c r="E83" s="5" t="s">
        <v>16</v>
      </c>
      <c r="F83" s="5" t="s">
        <v>132</v>
      </c>
      <c r="G83" s="5" t="s">
        <v>133</v>
      </c>
      <c r="H83" s="5">
        <v>3890</v>
      </c>
      <c r="I83" s="5" t="str">
        <f t="shared" si="3"/>
        <v>ONLINE</v>
      </c>
      <c r="J83" s="5" t="str">
        <f t="shared" si="4"/>
        <v>Sale</v>
      </c>
      <c r="K83" s="5">
        <f t="shared" si="5"/>
        <v>3890</v>
      </c>
    </row>
    <row r="84" spans="1:11">
      <c r="A84" s="6">
        <v>46047</v>
      </c>
      <c r="B84" s="7">
        <v>0.85953703703703699</v>
      </c>
      <c r="C84" s="5" t="s">
        <v>8</v>
      </c>
      <c r="D84" s="5" t="s">
        <v>134</v>
      </c>
      <c r="E84" s="5" t="s">
        <v>10</v>
      </c>
      <c r="H84" s="5">
        <v>210</v>
      </c>
      <c r="I84" s="5" t="str">
        <f t="shared" si="3"/>
        <v>OFFLINE</v>
      </c>
      <c r="J84" s="5" t="str">
        <f t="shared" si="4"/>
        <v>Sale</v>
      </c>
      <c r="K84" s="5">
        <f t="shared" si="5"/>
        <v>210</v>
      </c>
    </row>
    <row r="85" spans="1:11">
      <c r="A85" s="6">
        <v>46047</v>
      </c>
      <c r="B85" s="7">
        <v>0.86262731481481481</v>
      </c>
      <c r="C85" s="5" t="s">
        <v>11</v>
      </c>
      <c r="D85" s="5" t="s">
        <v>135</v>
      </c>
      <c r="E85" s="5" t="s">
        <v>13</v>
      </c>
      <c r="H85" s="5">
        <v>570</v>
      </c>
      <c r="I85" s="5" t="str">
        <f t="shared" si="3"/>
        <v>OFFLINE</v>
      </c>
      <c r="J85" s="5" t="str">
        <f t="shared" si="4"/>
        <v>Sale</v>
      </c>
      <c r="K85" s="5">
        <f t="shared" si="5"/>
        <v>570</v>
      </c>
    </row>
    <row r="86" spans="1:11">
      <c r="A86" s="6">
        <v>46047</v>
      </c>
      <c r="B86" s="7">
        <v>0.86572916666666666</v>
      </c>
      <c r="C86" s="5" t="s">
        <v>14</v>
      </c>
      <c r="D86" s="5" t="s">
        <v>136</v>
      </c>
      <c r="E86" s="5" t="s">
        <v>16</v>
      </c>
      <c r="H86" s="5">
        <v>980</v>
      </c>
      <c r="I86" s="5" t="str">
        <f t="shared" si="3"/>
        <v>OFFLINE</v>
      </c>
      <c r="J86" s="5" t="str">
        <f t="shared" si="4"/>
        <v>Sale</v>
      </c>
      <c r="K86" s="5">
        <f t="shared" si="5"/>
        <v>980</v>
      </c>
    </row>
    <row r="87" spans="1:11">
      <c r="A87" s="6">
        <v>46047</v>
      </c>
      <c r="B87" s="7">
        <v>0.86872685185185183</v>
      </c>
      <c r="C87" s="5" t="s">
        <v>8</v>
      </c>
      <c r="D87" s="5" t="s">
        <v>137</v>
      </c>
      <c r="E87" s="5" t="s">
        <v>10</v>
      </c>
      <c r="F87" s="5" t="s">
        <v>138</v>
      </c>
      <c r="G87" s="5" t="s">
        <v>139</v>
      </c>
      <c r="H87" s="5">
        <v>2470</v>
      </c>
      <c r="I87" s="5" t="str">
        <f t="shared" si="3"/>
        <v>ONLINE</v>
      </c>
      <c r="J87" s="5" t="str">
        <f t="shared" si="4"/>
        <v>Sale</v>
      </c>
      <c r="K87" s="5">
        <f t="shared" si="5"/>
        <v>2470</v>
      </c>
    </row>
    <row r="88" spans="1:11">
      <c r="A88" s="6">
        <v>46047</v>
      </c>
      <c r="B88" s="7">
        <v>0.87179398148148146</v>
      </c>
      <c r="C88" s="5" t="s">
        <v>11</v>
      </c>
      <c r="D88" s="5" t="s">
        <v>140</v>
      </c>
      <c r="E88" s="5" t="s">
        <v>13</v>
      </c>
      <c r="H88" s="5">
        <v>310</v>
      </c>
      <c r="I88" s="5" t="str">
        <f t="shared" si="3"/>
        <v>OFFLINE</v>
      </c>
      <c r="J88" s="5" t="str">
        <f t="shared" si="4"/>
        <v>Sale</v>
      </c>
      <c r="K88" s="5">
        <f t="shared" si="5"/>
        <v>310</v>
      </c>
    </row>
    <row r="89" spans="1:11">
      <c r="A89" s="6">
        <v>46047</v>
      </c>
      <c r="B89" s="7">
        <v>0.87484953703703705</v>
      </c>
      <c r="C89" s="5" t="s">
        <v>14</v>
      </c>
      <c r="D89" s="5" t="s">
        <v>141</v>
      </c>
      <c r="E89" s="5" t="s">
        <v>16</v>
      </c>
      <c r="H89" s="5">
        <v>440</v>
      </c>
      <c r="I89" s="5" t="str">
        <f t="shared" si="3"/>
        <v>OFFLINE</v>
      </c>
      <c r="J89" s="5" t="str">
        <f t="shared" si="4"/>
        <v>Sale</v>
      </c>
      <c r="K89" s="5">
        <f t="shared" si="5"/>
        <v>440</v>
      </c>
    </row>
    <row r="90" spans="1:11">
      <c r="A90" s="6">
        <v>46047</v>
      </c>
      <c r="B90" s="7">
        <v>0.79877314814814815</v>
      </c>
      <c r="C90" s="5" t="s">
        <v>8</v>
      </c>
      <c r="D90" s="5" t="s">
        <v>142</v>
      </c>
      <c r="E90" s="5" t="s">
        <v>10</v>
      </c>
      <c r="H90" s="5">
        <v>760</v>
      </c>
      <c r="I90" s="5" t="str">
        <f t="shared" si="3"/>
        <v>OFFLINE</v>
      </c>
      <c r="J90" s="5" t="str">
        <f t="shared" si="4"/>
        <v>Sale</v>
      </c>
      <c r="K90" s="5">
        <f t="shared" si="5"/>
        <v>760</v>
      </c>
    </row>
    <row r="91" spans="1:11">
      <c r="A91" s="6">
        <v>46047</v>
      </c>
      <c r="B91" s="7">
        <v>0.80206018518518518</v>
      </c>
      <c r="C91" s="5" t="s">
        <v>11</v>
      </c>
      <c r="D91" s="5" t="s">
        <v>143</v>
      </c>
      <c r="E91" s="5" t="s">
        <v>13</v>
      </c>
      <c r="H91" s="5">
        <v>-190</v>
      </c>
      <c r="I91" s="5" t="str">
        <f t="shared" si="3"/>
        <v>OFFLINE</v>
      </c>
      <c r="J91" s="5" t="str">
        <f t="shared" si="4"/>
        <v>Return</v>
      </c>
      <c r="K91" s="5">
        <f t="shared" si="5"/>
        <v>190</v>
      </c>
    </row>
    <row r="92" spans="1:11">
      <c r="A92" s="6">
        <v>46047</v>
      </c>
      <c r="B92" s="7">
        <v>0.80524305555555553</v>
      </c>
      <c r="C92" s="5" t="s">
        <v>14</v>
      </c>
      <c r="D92" s="5" t="s">
        <v>144</v>
      </c>
      <c r="E92" s="5" t="s">
        <v>16</v>
      </c>
      <c r="F92" s="5" t="s">
        <v>145</v>
      </c>
      <c r="G92" s="5" t="s">
        <v>146</v>
      </c>
      <c r="H92" s="5">
        <v>1680</v>
      </c>
      <c r="I92" s="5" t="str">
        <f t="shared" si="3"/>
        <v>ONLINE</v>
      </c>
      <c r="J92" s="5" t="str">
        <f t="shared" si="4"/>
        <v>Sale</v>
      </c>
      <c r="K92" s="5">
        <f t="shared" si="5"/>
        <v>1680</v>
      </c>
    </row>
    <row r="93" spans="1:11">
      <c r="A93" s="6">
        <v>46047</v>
      </c>
      <c r="B93" s="7">
        <v>0.8084027777777778</v>
      </c>
      <c r="C93" s="5" t="s">
        <v>8</v>
      </c>
      <c r="D93" s="5" t="s">
        <v>147</v>
      </c>
      <c r="E93" s="5" t="s">
        <v>10</v>
      </c>
      <c r="H93" s="5">
        <v>290</v>
      </c>
      <c r="I93" s="5" t="str">
        <f t="shared" si="3"/>
        <v>OFFLINE</v>
      </c>
      <c r="J93" s="5" t="str">
        <f t="shared" si="4"/>
        <v>Sale</v>
      </c>
      <c r="K93" s="5">
        <f t="shared" si="5"/>
        <v>290</v>
      </c>
    </row>
    <row r="94" spans="1:11">
      <c r="A94" s="6">
        <v>46047</v>
      </c>
      <c r="B94" s="7">
        <v>0.81170138888888888</v>
      </c>
      <c r="C94" s="5" t="s">
        <v>11</v>
      </c>
      <c r="D94" s="5" t="s">
        <v>148</v>
      </c>
      <c r="E94" s="5" t="s">
        <v>13</v>
      </c>
      <c r="H94" s="5">
        <v>920</v>
      </c>
      <c r="I94" s="5" t="str">
        <f t="shared" si="3"/>
        <v>OFFLINE</v>
      </c>
      <c r="J94" s="5" t="str">
        <f t="shared" si="4"/>
        <v>Sale</v>
      </c>
      <c r="K94" s="5">
        <f t="shared" si="5"/>
        <v>920</v>
      </c>
    </row>
    <row r="95" spans="1:11">
      <c r="A95" s="6">
        <v>46047</v>
      </c>
      <c r="B95" s="7">
        <v>0.81489583333333337</v>
      </c>
      <c r="C95" s="5" t="s">
        <v>14</v>
      </c>
      <c r="D95" s="5" t="s">
        <v>149</v>
      </c>
      <c r="E95" s="5" t="s">
        <v>16</v>
      </c>
      <c r="H95" s="5">
        <v>510</v>
      </c>
      <c r="I95" s="5" t="str">
        <f t="shared" si="3"/>
        <v>OFFLINE</v>
      </c>
      <c r="J95" s="5" t="str">
        <f t="shared" si="4"/>
        <v>Sale</v>
      </c>
      <c r="K95" s="5">
        <f t="shared" si="5"/>
        <v>510</v>
      </c>
    </row>
    <row r="96" spans="1:11">
      <c r="A96" s="6">
        <v>46047</v>
      </c>
      <c r="B96" s="7">
        <v>0.81807870370370372</v>
      </c>
      <c r="C96" s="5" t="s">
        <v>8</v>
      </c>
      <c r="D96" s="5" t="s">
        <v>150</v>
      </c>
      <c r="E96" s="5" t="s">
        <v>10</v>
      </c>
      <c r="F96" s="5" t="s">
        <v>151</v>
      </c>
      <c r="G96" s="5" t="s">
        <v>152</v>
      </c>
      <c r="H96" s="5">
        <v>3050</v>
      </c>
      <c r="I96" s="5" t="str">
        <f t="shared" si="3"/>
        <v>ONLINE</v>
      </c>
      <c r="J96" s="5" t="str">
        <f t="shared" si="4"/>
        <v>Sale</v>
      </c>
      <c r="K96" s="5">
        <f t="shared" si="5"/>
        <v>3050</v>
      </c>
    </row>
    <row r="97" spans="1:11">
      <c r="A97" s="6">
        <v>46047</v>
      </c>
      <c r="B97" s="7">
        <v>0.82134259259259257</v>
      </c>
      <c r="C97" s="5" t="s">
        <v>11</v>
      </c>
      <c r="D97" s="5" t="s">
        <v>153</v>
      </c>
      <c r="E97" s="5" t="s">
        <v>13</v>
      </c>
      <c r="H97" s="5">
        <v>370</v>
      </c>
      <c r="I97" s="5" t="str">
        <f t="shared" si="3"/>
        <v>OFFLINE</v>
      </c>
      <c r="J97" s="5" t="str">
        <f t="shared" si="4"/>
        <v>Sale</v>
      </c>
      <c r="K97" s="5">
        <f t="shared" si="5"/>
        <v>370</v>
      </c>
    </row>
    <row r="98" spans="1:11">
      <c r="A98" s="6">
        <v>46047</v>
      </c>
      <c r="B98" s="7">
        <v>0.82452546296296292</v>
      </c>
      <c r="C98" s="5" t="s">
        <v>14</v>
      </c>
      <c r="D98" s="5" t="s">
        <v>154</v>
      </c>
      <c r="E98" s="5" t="s">
        <v>16</v>
      </c>
      <c r="H98" s="5">
        <v>680</v>
      </c>
      <c r="I98" s="5" t="str">
        <f t="shared" si="3"/>
        <v>OFFLINE</v>
      </c>
      <c r="J98" s="5" t="str">
        <f t="shared" si="4"/>
        <v>Sale</v>
      </c>
      <c r="K98" s="5">
        <f t="shared" si="5"/>
        <v>680</v>
      </c>
    </row>
    <row r="99" spans="1:11">
      <c r="A99" s="6">
        <v>46047</v>
      </c>
      <c r="B99" s="7">
        <v>0.75363425925925931</v>
      </c>
      <c r="C99" s="5" t="s">
        <v>8</v>
      </c>
      <c r="D99" s="5" t="s">
        <v>155</v>
      </c>
      <c r="E99" s="5" t="s">
        <v>10</v>
      </c>
      <c r="H99" s="5">
        <v>340</v>
      </c>
      <c r="I99" s="5" t="str">
        <f t="shared" si="3"/>
        <v>OFFLINE</v>
      </c>
      <c r="J99" s="5" t="str">
        <f t="shared" si="4"/>
        <v>Sale</v>
      </c>
      <c r="K99" s="5">
        <f t="shared" si="5"/>
        <v>340</v>
      </c>
    </row>
    <row r="100" spans="1:11">
      <c r="A100" s="6">
        <v>46047</v>
      </c>
      <c r="B100" s="7">
        <v>0.75586805555555558</v>
      </c>
      <c r="C100" s="5" t="s">
        <v>11</v>
      </c>
      <c r="D100" s="5" t="s">
        <v>156</v>
      </c>
      <c r="E100" s="5" t="s">
        <v>13</v>
      </c>
      <c r="H100" s="5">
        <v>780</v>
      </c>
      <c r="I100" s="5" t="str">
        <f t="shared" si="3"/>
        <v>OFFLINE</v>
      </c>
      <c r="J100" s="5" t="str">
        <f t="shared" si="4"/>
        <v>Sale</v>
      </c>
      <c r="K100" s="5">
        <f t="shared" si="5"/>
        <v>780</v>
      </c>
    </row>
    <row r="101" spans="1:11">
      <c r="A101" s="6">
        <v>46047</v>
      </c>
      <c r="B101" s="7">
        <v>0.75809027777777782</v>
      </c>
      <c r="C101" s="5" t="s">
        <v>14</v>
      </c>
      <c r="D101" s="5" t="s">
        <v>157</v>
      </c>
      <c r="E101" s="5" t="s">
        <v>16</v>
      </c>
      <c r="F101" s="5" t="s">
        <v>158</v>
      </c>
      <c r="G101" s="5" t="s">
        <v>159</v>
      </c>
      <c r="H101" s="5">
        <v>2190</v>
      </c>
      <c r="I101" s="5" t="str">
        <f t="shared" si="3"/>
        <v>ONLINE</v>
      </c>
      <c r="J101" s="5" t="str">
        <f t="shared" si="4"/>
        <v>Sale</v>
      </c>
      <c r="K101" s="5">
        <f t="shared" si="5"/>
        <v>2190</v>
      </c>
    </row>
    <row r="102" spans="1:11">
      <c r="A102" s="6">
        <v>46047</v>
      </c>
      <c r="B102" s="7">
        <v>0.76043981481481482</v>
      </c>
      <c r="C102" s="5" t="s">
        <v>8</v>
      </c>
      <c r="D102" s="5" t="s">
        <v>160</v>
      </c>
      <c r="E102" s="5" t="s">
        <v>10</v>
      </c>
      <c r="H102" s="5">
        <v>120</v>
      </c>
      <c r="I102" s="5" t="str">
        <f t="shared" si="3"/>
        <v>OFFLINE</v>
      </c>
      <c r="J102" s="5" t="str">
        <f t="shared" si="4"/>
        <v>Sale</v>
      </c>
      <c r="K102" s="5">
        <f t="shared" si="5"/>
        <v>120</v>
      </c>
    </row>
    <row r="103" spans="1:11">
      <c r="A103" s="6">
        <v>46047</v>
      </c>
      <c r="B103" s="7">
        <v>0.76303240740740741</v>
      </c>
      <c r="C103" s="5" t="s">
        <v>11</v>
      </c>
      <c r="D103" s="5" t="s">
        <v>161</v>
      </c>
      <c r="E103" s="5" t="s">
        <v>13</v>
      </c>
      <c r="H103" s="5">
        <v>560</v>
      </c>
      <c r="I103" s="5" t="str">
        <f t="shared" si="3"/>
        <v>OFFLINE</v>
      </c>
      <c r="J103" s="5" t="str">
        <f t="shared" si="4"/>
        <v>Sale</v>
      </c>
      <c r="K103" s="5">
        <f t="shared" si="5"/>
        <v>560</v>
      </c>
    </row>
    <row r="104" spans="1:11">
      <c r="A104" s="6">
        <v>46047</v>
      </c>
      <c r="B104" s="7">
        <v>0.76563657407407404</v>
      </c>
      <c r="C104" s="5" t="s">
        <v>14</v>
      </c>
      <c r="D104" s="5" t="s">
        <v>162</v>
      </c>
      <c r="E104" s="5" t="s">
        <v>16</v>
      </c>
      <c r="H104" s="5">
        <v>430</v>
      </c>
      <c r="I104" s="5" t="str">
        <f t="shared" si="3"/>
        <v>OFFLINE</v>
      </c>
      <c r="J104" s="5" t="str">
        <f t="shared" si="4"/>
        <v>Sale</v>
      </c>
      <c r="K104" s="5">
        <f t="shared" si="5"/>
        <v>430</v>
      </c>
    </row>
    <row r="105" spans="1:11">
      <c r="A105" s="6">
        <v>46047</v>
      </c>
      <c r="B105" s="7">
        <v>0.76814814814814814</v>
      </c>
      <c r="C105" s="5" t="s">
        <v>8</v>
      </c>
      <c r="D105" s="5" t="s">
        <v>163</v>
      </c>
      <c r="E105" s="5" t="s">
        <v>10</v>
      </c>
      <c r="F105" s="5" t="s">
        <v>164</v>
      </c>
      <c r="G105" s="5" t="s">
        <v>165</v>
      </c>
      <c r="H105" s="5">
        <v>2890</v>
      </c>
      <c r="I105" s="5" t="str">
        <f t="shared" si="3"/>
        <v>ONLINE</v>
      </c>
      <c r="J105" s="5" t="str">
        <f t="shared" si="4"/>
        <v>Sale</v>
      </c>
      <c r="K105" s="5">
        <f t="shared" si="5"/>
        <v>2890</v>
      </c>
    </row>
    <row r="106" spans="1:11">
      <c r="A106" s="6">
        <v>46047</v>
      </c>
      <c r="B106" s="7">
        <v>0.77076388888888892</v>
      </c>
      <c r="C106" s="5" t="s">
        <v>11</v>
      </c>
      <c r="D106" s="5" t="s">
        <v>166</v>
      </c>
      <c r="E106" s="5" t="s">
        <v>13</v>
      </c>
      <c r="H106" s="5">
        <v>210</v>
      </c>
      <c r="I106" s="5" t="str">
        <f t="shared" si="3"/>
        <v>OFFLINE</v>
      </c>
      <c r="J106" s="5" t="str">
        <f t="shared" si="4"/>
        <v>Sale</v>
      </c>
      <c r="K106" s="5">
        <f t="shared" si="5"/>
        <v>210</v>
      </c>
    </row>
    <row r="107" spans="1:11">
      <c r="A107" s="6">
        <v>46047</v>
      </c>
      <c r="B107" s="7">
        <v>0.77311342592592591</v>
      </c>
      <c r="C107" s="5" t="s">
        <v>14</v>
      </c>
      <c r="D107" s="5" t="s">
        <v>167</v>
      </c>
      <c r="E107" s="5" t="s">
        <v>16</v>
      </c>
      <c r="H107" s="5">
        <v>980</v>
      </c>
      <c r="I107" s="5" t="str">
        <f t="shared" si="3"/>
        <v>OFFLINE</v>
      </c>
      <c r="J107" s="5" t="str">
        <f t="shared" si="4"/>
        <v>Sale</v>
      </c>
      <c r="K107" s="5">
        <f t="shared" si="5"/>
        <v>980</v>
      </c>
    </row>
    <row r="108" spans="1:11">
      <c r="A108" s="6">
        <v>46047</v>
      </c>
      <c r="B108" s="7">
        <v>0.77552083333333333</v>
      </c>
      <c r="C108" s="5" t="s">
        <v>8</v>
      </c>
      <c r="D108" s="5" t="s">
        <v>168</v>
      </c>
      <c r="E108" s="5" t="s">
        <v>10</v>
      </c>
      <c r="H108" s="5">
        <v>-260</v>
      </c>
      <c r="I108" s="5" t="str">
        <f t="shared" si="3"/>
        <v>OFFLINE</v>
      </c>
      <c r="J108" s="5" t="str">
        <f t="shared" si="4"/>
        <v>Return</v>
      </c>
      <c r="K108" s="5">
        <f t="shared" si="5"/>
        <v>260</v>
      </c>
    </row>
    <row r="109" spans="1:11">
      <c r="A109" s="6">
        <v>46047</v>
      </c>
      <c r="B109" s="7">
        <v>0.7779166666666667</v>
      </c>
      <c r="C109" s="5" t="s">
        <v>11</v>
      </c>
      <c r="D109" s="5" t="s">
        <v>169</v>
      </c>
      <c r="E109" s="5" t="s">
        <v>13</v>
      </c>
      <c r="H109" s="5">
        <v>370</v>
      </c>
      <c r="I109" s="5" t="str">
        <f t="shared" si="3"/>
        <v>OFFLINE</v>
      </c>
      <c r="J109" s="5" t="str">
        <f t="shared" si="4"/>
        <v>Sale</v>
      </c>
      <c r="K109" s="5">
        <f t="shared" si="5"/>
        <v>370</v>
      </c>
    </row>
    <row r="110" spans="1:11">
      <c r="A110" s="6">
        <v>46047</v>
      </c>
      <c r="B110" s="7">
        <v>0.78054398148148152</v>
      </c>
      <c r="C110" s="5" t="s">
        <v>14</v>
      </c>
      <c r="D110" s="5" t="s">
        <v>170</v>
      </c>
      <c r="E110" s="5" t="s">
        <v>16</v>
      </c>
      <c r="F110" s="5" t="s">
        <v>171</v>
      </c>
      <c r="G110" s="5" t="s">
        <v>172</v>
      </c>
      <c r="H110" s="5">
        <v>1540</v>
      </c>
      <c r="I110" s="5" t="str">
        <f t="shared" si="3"/>
        <v>ONLINE</v>
      </c>
      <c r="J110" s="5" t="str">
        <f t="shared" si="4"/>
        <v>Sale</v>
      </c>
      <c r="K110" s="5">
        <f t="shared" si="5"/>
        <v>1540</v>
      </c>
    </row>
    <row r="111" spans="1:11">
      <c r="A111" s="6">
        <v>46047</v>
      </c>
      <c r="B111" s="7">
        <v>0.78288194444444448</v>
      </c>
      <c r="C111" s="5" t="s">
        <v>8</v>
      </c>
      <c r="D111" s="5" t="s">
        <v>173</v>
      </c>
      <c r="E111" s="5" t="s">
        <v>10</v>
      </c>
      <c r="H111" s="5">
        <v>95</v>
      </c>
      <c r="I111" s="5" t="str">
        <f t="shared" si="3"/>
        <v>OFFLINE</v>
      </c>
      <c r="J111" s="5" t="str">
        <f t="shared" si="4"/>
        <v>Sale</v>
      </c>
      <c r="K111" s="5">
        <f t="shared" si="5"/>
        <v>95</v>
      </c>
    </row>
    <row r="112" spans="1:11">
      <c r="A112" s="6">
        <v>46047</v>
      </c>
      <c r="B112" s="7">
        <v>0.78516203703703702</v>
      </c>
      <c r="C112" s="5" t="s">
        <v>11</v>
      </c>
      <c r="D112" s="5" t="s">
        <v>174</v>
      </c>
      <c r="E112" s="5" t="s">
        <v>13</v>
      </c>
      <c r="H112" s="5">
        <v>690</v>
      </c>
      <c r="I112" s="5" t="str">
        <f t="shared" si="3"/>
        <v>OFFLINE</v>
      </c>
      <c r="J112" s="5" t="str">
        <f t="shared" si="4"/>
        <v>Sale</v>
      </c>
      <c r="K112" s="5">
        <f t="shared" si="5"/>
        <v>690</v>
      </c>
    </row>
    <row r="113" spans="1:11">
      <c r="A113" s="6">
        <v>46047</v>
      </c>
      <c r="B113" s="7">
        <v>0.78756944444444443</v>
      </c>
      <c r="C113" s="5" t="s">
        <v>14</v>
      </c>
      <c r="D113" s="5" t="s">
        <v>175</v>
      </c>
      <c r="E113" s="5" t="s">
        <v>16</v>
      </c>
      <c r="H113" s="5">
        <v>410</v>
      </c>
      <c r="I113" s="5" t="str">
        <f t="shared" si="3"/>
        <v>OFFLINE</v>
      </c>
      <c r="J113" s="5" t="str">
        <f t="shared" si="4"/>
        <v>Sale</v>
      </c>
      <c r="K113" s="5">
        <f t="shared" si="5"/>
        <v>410</v>
      </c>
    </row>
    <row r="114" spans="1:11">
      <c r="A114" s="6">
        <v>46047</v>
      </c>
      <c r="B114" s="7">
        <v>0.79006944444444449</v>
      </c>
      <c r="C114" s="5" t="s">
        <v>8</v>
      </c>
      <c r="D114" s="5" t="s">
        <v>176</v>
      </c>
      <c r="E114" s="5" t="s">
        <v>10</v>
      </c>
      <c r="F114" s="5" t="s">
        <v>177</v>
      </c>
      <c r="G114" s="5" t="s">
        <v>178</v>
      </c>
      <c r="H114" s="5">
        <v>3250</v>
      </c>
      <c r="I114" s="5" t="str">
        <f t="shared" si="3"/>
        <v>ONLINE</v>
      </c>
      <c r="J114" s="5" t="str">
        <f t="shared" si="4"/>
        <v>Sale</v>
      </c>
      <c r="K114" s="5">
        <f t="shared" si="5"/>
        <v>3250</v>
      </c>
    </row>
    <row r="115" spans="1:11">
      <c r="A115" s="6">
        <v>46047</v>
      </c>
      <c r="B115" s="7">
        <v>0.79256944444444444</v>
      </c>
      <c r="C115" s="5" t="s">
        <v>11</v>
      </c>
      <c r="D115" s="5" t="s">
        <v>179</v>
      </c>
      <c r="E115" s="5" t="s">
        <v>13</v>
      </c>
      <c r="H115" s="5">
        <v>260</v>
      </c>
      <c r="I115" s="5" t="str">
        <f t="shared" si="3"/>
        <v>OFFLINE</v>
      </c>
      <c r="J115" s="5" t="str">
        <f t="shared" si="4"/>
        <v>Sale</v>
      </c>
      <c r="K115" s="5">
        <f t="shared" si="5"/>
        <v>260</v>
      </c>
    </row>
    <row r="116" spans="1:11">
      <c r="A116" s="6">
        <v>46047</v>
      </c>
      <c r="B116" s="7">
        <v>0.79505787037037035</v>
      </c>
      <c r="C116" s="5" t="s">
        <v>14</v>
      </c>
      <c r="D116" s="5" t="s">
        <v>180</v>
      </c>
      <c r="E116" s="5" t="s">
        <v>16</v>
      </c>
      <c r="H116" s="5">
        <v>840</v>
      </c>
      <c r="I116" s="5" t="str">
        <f t="shared" si="3"/>
        <v>OFFLINE</v>
      </c>
      <c r="J116" s="5" t="str">
        <f t="shared" si="4"/>
        <v>Sale</v>
      </c>
      <c r="K116" s="5">
        <f t="shared" si="5"/>
        <v>840</v>
      </c>
    </row>
    <row r="117" spans="1:11">
      <c r="A117" s="6">
        <v>46047</v>
      </c>
      <c r="B117" s="7">
        <v>0.7975578703703704</v>
      </c>
      <c r="C117" s="5" t="s">
        <v>8</v>
      </c>
      <c r="D117" s="5" t="s">
        <v>181</v>
      </c>
      <c r="E117" s="5" t="s">
        <v>10</v>
      </c>
      <c r="H117" s="5">
        <v>150</v>
      </c>
      <c r="I117" s="5" t="str">
        <f t="shared" si="3"/>
        <v>OFFLINE</v>
      </c>
      <c r="J117" s="5" t="str">
        <f t="shared" si="4"/>
        <v>Sale</v>
      </c>
      <c r="K117" s="5">
        <f t="shared" si="5"/>
        <v>150</v>
      </c>
    </row>
    <row r="118" spans="1:11">
      <c r="A118" s="6">
        <v>46047</v>
      </c>
      <c r="B118" s="7">
        <v>0.8000694444444445</v>
      </c>
      <c r="C118" s="5" t="s">
        <v>11</v>
      </c>
      <c r="D118" s="5" t="s">
        <v>182</v>
      </c>
      <c r="E118" s="5" t="s">
        <v>13</v>
      </c>
      <c r="F118" s="5" t="s">
        <v>183</v>
      </c>
      <c r="G118" s="5" t="s">
        <v>184</v>
      </c>
      <c r="H118" s="5">
        <v>1980</v>
      </c>
      <c r="I118" s="5" t="str">
        <f t="shared" si="3"/>
        <v>ONLINE</v>
      </c>
      <c r="J118" s="5" t="str">
        <f t="shared" si="4"/>
        <v>Sale</v>
      </c>
      <c r="K118" s="5">
        <f t="shared" si="5"/>
        <v>1980</v>
      </c>
    </row>
    <row r="119" spans="1:11">
      <c r="A119" s="6">
        <v>46047</v>
      </c>
      <c r="B119" s="7">
        <v>0.80255787037037041</v>
      </c>
      <c r="C119" s="5" t="s">
        <v>14</v>
      </c>
      <c r="D119" s="5" t="s">
        <v>185</v>
      </c>
      <c r="E119" s="5" t="s">
        <v>16</v>
      </c>
      <c r="H119" s="5">
        <v>520</v>
      </c>
      <c r="I119" s="5" t="str">
        <f t="shared" si="3"/>
        <v>OFFLINE</v>
      </c>
      <c r="J119" s="5" t="str">
        <f t="shared" si="4"/>
        <v>Sale</v>
      </c>
      <c r="K119" s="5">
        <f t="shared" si="5"/>
        <v>520</v>
      </c>
    </row>
    <row r="120" spans="1:11">
      <c r="A120" s="6">
        <v>46047</v>
      </c>
      <c r="B120" s="7">
        <v>0.80506944444444439</v>
      </c>
      <c r="C120" s="5" t="s">
        <v>8</v>
      </c>
      <c r="D120" s="5" t="s">
        <v>186</v>
      </c>
      <c r="E120" s="5" t="s">
        <v>10</v>
      </c>
      <c r="H120" s="5">
        <v>1340</v>
      </c>
      <c r="I120" s="5" t="str">
        <f t="shared" si="3"/>
        <v>OFFLINE</v>
      </c>
      <c r="J120" s="5" t="str">
        <f t="shared" si="4"/>
        <v>Sale</v>
      </c>
      <c r="K120" s="5">
        <f t="shared" si="5"/>
        <v>1340</v>
      </c>
    </row>
    <row r="121" spans="1:11">
      <c r="A121" s="6">
        <v>46047</v>
      </c>
      <c r="B121" s="7">
        <v>0.80758101851851849</v>
      </c>
      <c r="C121" s="5" t="s">
        <v>11</v>
      </c>
      <c r="D121" s="5" t="s">
        <v>187</v>
      </c>
      <c r="E121" s="5" t="s">
        <v>13</v>
      </c>
      <c r="H121" s="5">
        <v>-190</v>
      </c>
      <c r="I121" s="5" t="str">
        <f t="shared" si="3"/>
        <v>OFFLINE</v>
      </c>
      <c r="J121" s="5" t="str">
        <f t="shared" si="4"/>
        <v>Return</v>
      </c>
      <c r="K121" s="5">
        <f t="shared" si="5"/>
        <v>190</v>
      </c>
    </row>
    <row r="122" spans="1:11">
      <c r="A122" s="6">
        <v>46047</v>
      </c>
      <c r="B122" s="7">
        <v>0.81010416666666663</v>
      </c>
      <c r="C122" s="5" t="s">
        <v>14</v>
      </c>
      <c r="D122" s="5" t="s">
        <v>188</v>
      </c>
      <c r="E122" s="5" t="s">
        <v>16</v>
      </c>
      <c r="F122" s="5" t="s">
        <v>189</v>
      </c>
      <c r="G122" s="5" t="s">
        <v>190</v>
      </c>
      <c r="H122" s="5">
        <v>2650</v>
      </c>
      <c r="I122" s="5" t="str">
        <f t="shared" si="3"/>
        <v>ONLINE</v>
      </c>
      <c r="J122" s="5" t="str">
        <f t="shared" si="4"/>
        <v>Sale</v>
      </c>
      <c r="K122" s="5">
        <f t="shared" si="5"/>
        <v>2650</v>
      </c>
    </row>
    <row r="123" spans="1:11">
      <c r="A123" s="6">
        <v>46047</v>
      </c>
      <c r="B123" s="7">
        <v>0.81258101851851849</v>
      </c>
      <c r="C123" s="5" t="s">
        <v>8</v>
      </c>
      <c r="D123" s="5" t="s">
        <v>191</v>
      </c>
      <c r="E123" s="5" t="s">
        <v>10</v>
      </c>
      <c r="H123" s="5">
        <v>310</v>
      </c>
      <c r="I123" s="5" t="str">
        <f t="shared" si="3"/>
        <v>OFFLINE</v>
      </c>
      <c r="J123" s="5" t="str">
        <f t="shared" si="4"/>
        <v>Sale</v>
      </c>
      <c r="K123" s="5">
        <f t="shared" si="5"/>
        <v>310</v>
      </c>
    </row>
    <row r="124" spans="1:11">
      <c r="A124" s="6">
        <v>46047</v>
      </c>
      <c r="B124" s="7">
        <v>0.81515046296296301</v>
      </c>
      <c r="C124" s="5" t="s">
        <v>11</v>
      </c>
      <c r="D124" s="5" t="s">
        <v>192</v>
      </c>
      <c r="E124" s="5" t="s">
        <v>13</v>
      </c>
      <c r="H124" s="5">
        <v>720</v>
      </c>
      <c r="I124" s="5" t="str">
        <f t="shared" si="3"/>
        <v>OFFLINE</v>
      </c>
      <c r="J124" s="5" t="str">
        <f t="shared" si="4"/>
        <v>Sale</v>
      </c>
      <c r="K124" s="5">
        <f t="shared" si="5"/>
        <v>720</v>
      </c>
    </row>
    <row r="125" spans="1:11">
      <c r="A125" s="6">
        <v>46047</v>
      </c>
      <c r="B125" s="7">
        <v>0.81766203703703699</v>
      </c>
      <c r="C125" s="5" t="s">
        <v>14</v>
      </c>
      <c r="D125" s="5" t="s">
        <v>193</v>
      </c>
      <c r="E125" s="5" t="s">
        <v>16</v>
      </c>
      <c r="H125" s="5">
        <v>480</v>
      </c>
      <c r="I125" s="5" t="str">
        <f t="shared" si="3"/>
        <v>OFFLINE</v>
      </c>
      <c r="J125" s="5" t="str">
        <f t="shared" si="4"/>
        <v>Sale</v>
      </c>
      <c r="K125" s="5">
        <f t="shared" si="5"/>
        <v>480</v>
      </c>
    </row>
    <row r="126" spans="1:11">
      <c r="A126" s="6">
        <v>46047</v>
      </c>
      <c r="B126" s="7">
        <v>0.82016203703703705</v>
      </c>
      <c r="C126" s="5" t="s">
        <v>8</v>
      </c>
      <c r="D126" s="5" t="s">
        <v>194</v>
      </c>
      <c r="E126" s="5" t="s">
        <v>10</v>
      </c>
      <c r="F126" s="5" t="s">
        <v>195</v>
      </c>
      <c r="G126" s="5" t="s">
        <v>196</v>
      </c>
      <c r="H126" s="5">
        <v>1780</v>
      </c>
      <c r="I126" s="5" t="str">
        <f t="shared" si="3"/>
        <v>ONLINE</v>
      </c>
      <c r="J126" s="5" t="str">
        <f t="shared" si="4"/>
        <v>Sale</v>
      </c>
      <c r="K126" s="5">
        <f t="shared" si="5"/>
        <v>1780</v>
      </c>
    </row>
    <row r="127" spans="1:11">
      <c r="A127" s="6">
        <v>46047</v>
      </c>
      <c r="B127" s="7">
        <v>0.822662037037037</v>
      </c>
      <c r="C127" s="5" t="s">
        <v>11</v>
      </c>
      <c r="D127" s="5" t="s">
        <v>197</v>
      </c>
      <c r="E127" s="5" t="s">
        <v>13</v>
      </c>
      <c r="H127" s="5">
        <v>260</v>
      </c>
      <c r="I127" s="5" t="str">
        <f t="shared" si="3"/>
        <v>OFFLINE</v>
      </c>
      <c r="J127" s="5" t="str">
        <f t="shared" si="4"/>
        <v>Sale</v>
      </c>
      <c r="K127" s="5">
        <f t="shared" si="5"/>
        <v>260</v>
      </c>
    </row>
    <row r="128" spans="1:11">
      <c r="A128" s="6">
        <v>46047</v>
      </c>
      <c r="B128" s="7">
        <v>0.82516203703703705</v>
      </c>
      <c r="C128" s="5" t="s">
        <v>14</v>
      </c>
      <c r="D128" s="5" t="s">
        <v>198</v>
      </c>
      <c r="E128" s="5" t="s">
        <v>16</v>
      </c>
      <c r="H128" s="5">
        <v>910</v>
      </c>
      <c r="I128" s="5" t="str">
        <f t="shared" si="3"/>
        <v>OFFLINE</v>
      </c>
      <c r="J128" s="5" t="str">
        <f t="shared" si="4"/>
        <v>Sale</v>
      </c>
      <c r="K128" s="5">
        <f t="shared" si="5"/>
        <v>910</v>
      </c>
    </row>
    <row r="129" spans="1:11">
      <c r="A129" s="6">
        <v>46047</v>
      </c>
      <c r="B129" s="7">
        <v>0.82765046296296296</v>
      </c>
      <c r="C129" s="5" t="s">
        <v>8</v>
      </c>
      <c r="D129" s="5" t="s">
        <v>199</v>
      </c>
      <c r="E129" s="5" t="s">
        <v>10</v>
      </c>
      <c r="H129" s="5">
        <v>-320</v>
      </c>
      <c r="I129" s="5" t="str">
        <f t="shared" si="3"/>
        <v>OFFLINE</v>
      </c>
      <c r="J129" s="5" t="str">
        <f t="shared" si="4"/>
        <v>Return</v>
      </c>
      <c r="K129" s="5">
        <f t="shared" si="5"/>
        <v>320</v>
      </c>
    </row>
    <row r="130" spans="1:11">
      <c r="A130" s="6">
        <v>46047</v>
      </c>
      <c r="B130" s="7">
        <v>0.8301736111111111</v>
      </c>
      <c r="C130" s="5" t="s">
        <v>11</v>
      </c>
      <c r="D130" s="5" t="s">
        <v>200</v>
      </c>
      <c r="E130" s="5" t="s">
        <v>13</v>
      </c>
      <c r="F130" s="5" t="s">
        <v>201</v>
      </c>
      <c r="G130" s="5" t="s">
        <v>202</v>
      </c>
      <c r="H130" s="5">
        <v>2420</v>
      </c>
      <c r="I130" s="5" t="str">
        <f t="shared" ref="I130:I193" si="6">IF(F130="","OFFLINE","ONLINE")</f>
        <v>ONLINE</v>
      </c>
      <c r="J130" s="5" t="str">
        <f t="shared" ref="J130:J193" si="7">IF(H130 &lt; 0, "Return", "Sale")</f>
        <v>Sale</v>
      </c>
      <c r="K130" s="5">
        <f t="shared" ref="K130:K193" si="8">ABS(H130)</f>
        <v>2420</v>
      </c>
    </row>
    <row r="131" spans="1:11">
      <c r="A131" s="6">
        <v>46047</v>
      </c>
      <c r="B131" s="7">
        <v>0.83267361111111116</v>
      </c>
      <c r="C131" s="5" t="s">
        <v>14</v>
      </c>
      <c r="D131" s="5" t="s">
        <v>203</v>
      </c>
      <c r="E131" s="5" t="s">
        <v>16</v>
      </c>
      <c r="H131" s="5">
        <v>390</v>
      </c>
      <c r="I131" s="5" t="str">
        <f t="shared" si="6"/>
        <v>OFFLINE</v>
      </c>
      <c r="J131" s="5" t="str">
        <f t="shared" si="7"/>
        <v>Sale</v>
      </c>
      <c r="K131" s="5">
        <f t="shared" si="8"/>
        <v>390</v>
      </c>
    </row>
    <row r="132" spans="1:11">
      <c r="A132" s="6">
        <v>46047</v>
      </c>
      <c r="B132" s="7">
        <v>0.83519675925925929</v>
      </c>
      <c r="C132" s="5" t="s">
        <v>8</v>
      </c>
      <c r="D132" s="5" t="s">
        <v>204</v>
      </c>
      <c r="E132" s="5" t="s">
        <v>10</v>
      </c>
      <c r="H132" s="5">
        <v>680</v>
      </c>
      <c r="I132" s="5" t="str">
        <f t="shared" si="6"/>
        <v>OFFLINE</v>
      </c>
      <c r="J132" s="5" t="str">
        <f t="shared" si="7"/>
        <v>Sale</v>
      </c>
      <c r="K132" s="5">
        <f t="shared" si="8"/>
        <v>680</v>
      </c>
    </row>
    <row r="133" spans="1:11">
      <c r="A133" s="6">
        <v>46047</v>
      </c>
      <c r="B133" s="7">
        <v>0.83770833333333339</v>
      </c>
      <c r="C133" s="5" t="s">
        <v>11</v>
      </c>
      <c r="D133" s="5" t="s">
        <v>205</v>
      </c>
      <c r="E133" s="5" t="s">
        <v>13</v>
      </c>
      <c r="H133" s="5">
        <v>230</v>
      </c>
      <c r="I133" s="5" t="str">
        <f t="shared" si="6"/>
        <v>OFFLINE</v>
      </c>
      <c r="J133" s="5" t="str">
        <f t="shared" si="7"/>
        <v>Sale</v>
      </c>
      <c r="K133" s="5">
        <f t="shared" si="8"/>
        <v>230</v>
      </c>
    </row>
    <row r="134" spans="1:11">
      <c r="A134" s="6">
        <v>46047</v>
      </c>
      <c r="B134" s="7">
        <v>0.84021990740740737</v>
      </c>
      <c r="C134" s="5" t="s">
        <v>14</v>
      </c>
      <c r="D134" s="5" t="s">
        <v>206</v>
      </c>
      <c r="E134" s="5" t="s">
        <v>16</v>
      </c>
      <c r="F134" s="5" t="s">
        <v>207</v>
      </c>
      <c r="G134" s="5" t="s">
        <v>208</v>
      </c>
      <c r="H134" s="5">
        <v>3150</v>
      </c>
      <c r="I134" s="5" t="str">
        <f t="shared" si="6"/>
        <v>ONLINE</v>
      </c>
      <c r="J134" s="5" t="str">
        <f t="shared" si="7"/>
        <v>Sale</v>
      </c>
      <c r="K134" s="5">
        <f t="shared" si="8"/>
        <v>3150</v>
      </c>
    </row>
    <row r="135" spans="1:11">
      <c r="A135" s="6">
        <v>46047</v>
      </c>
      <c r="B135" s="7">
        <v>0.84269675925925924</v>
      </c>
      <c r="C135" s="5" t="s">
        <v>8</v>
      </c>
      <c r="D135" s="5" t="s">
        <v>209</v>
      </c>
      <c r="E135" s="5" t="s">
        <v>10</v>
      </c>
      <c r="H135" s="5">
        <v>170</v>
      </c>
      <c r="I135" s="5" t="str">
        <f t="shared" si="6"/>
        <v>OFFLINE</v>
      </c>
      <c r="J135" s="5" t="str">
        <f t="shared" si="7"/>
        <v>Sale</v>
      </c>
      <c r="K135" s="5">
        <f t="shared" si="8"/>
        <v>170</v>
      </c>
    </row>
    <row r="136" spans="1:11">
      <c r="A136" s="6">
        <v>46047</v>
      </c>
      <c r="B136" s="7">
        <v>0.84520833333333334</v>
      </c>
      <c r="C136" s="5" t="s">
        <v>11</v>
      </c>
      <c r="D136" s="5" t="s">
        <v>210</v>
      </c>
      <c r="E136" s="5" t="s">
        <v>13</v>
      </c>
      <c r="H136" s="5">
        <v>540</v>
      </c>
      <c r="I136" s="5" t="str">
        <f t="shared" si="6"/>
        <v>OFFLINE</v>
      </c>
      <c r="J136" s="5" t="str">
        <f t="shared" si="7"/>
        <v>Sale</v>
      </c>
      <c r="K136" s="5">
        <f t="shared" si="8"/>
        <v>540</v>
      </c>
    </row>
    <row r="137" spans="1:11">
      <c r="A137" s="6">
        <v>46047</v>
      </c>
      <c r="B137" s="7">
        <v>0.84773148148148147</v>
      </c>
      <c r="C137" s="5" t="s">
        <v>14</v>
      </c>
      <c r="D137" s="5" t="s">
        <v>211</v>
      </c>
      <c r="E137" s="5" t="s">
        <v>16</v>
      </c>
      <c r="H137" s="5">
        <v>860</v>
      </c>
      <c r="I137" s="5" t="str">
        <f t="shared" si="6"/>
        <v>OFFLINE</v>
      </c>
      <c r="J137" s="5" t="str">
        <f t="shared" si="7"/>
        <v>Sale</v>
      </c>
      <c r="K137" s="5">
        <f t="shared" si="8"/>
        <v>860</v>
      </c>
    </row>
    <row r="138" spans="1:11">
      <c r="A138" s="6">
        <v>46047</v>
      </c>
      <c r="B138" s="7">
        <v>0.85024305555555557</v>
      </c>
      <c r="C138" s="5" t="s">
        <v>8</v>
      </c>
      <c r="D138" s="5" t="s">
        <v>212</v>
      </c>
      <c r="E138" s="5" t="s">
        <v>10</v>
      </c>
      <c r="F138" s="5" t="s">
        <v>213</v>
      </c>
      <c r="G138" s="5" t="s">
        <v>214</v>
      </c>
      <c r="H138" s="5">
        <v>2210</v>
      </c>
      <c r="I138" s="5" t="str">
        <f t="shared" si="6"/>
        <v>ONLINE</v>
      </c>
      <c r="J138" s="5" t="str">
        <f t="shared" si="7"/>
        <v>Sale</v>
      </c>
      <c r="K138" s="5">
        <f t="shared" si="8"/>
        <v>2210</v>
      </c>
    </row>
    <row r="139" spans="1:11">
      <c r="A139" s="6">
        <v>46047</v>
      </c>
      <c r="B139" s="7">
        <v>0.85276620370370371</v>
      </c>
      <c r="C139" s="5" t="s">
        <v>11</v>
      </c>
      <c r="D139" s="5" t="s">
        <v>215</v>
      </c>
      <c r="E139" s="5" t="s">
        <v>13</v>
      </c>
      <c r="H139" s="5">
        <v>290</v>
      </c>
      <c r="I139" s="5" t="str">
        <f t="shared" si="6"/>
        <v>OFFLINE</v>
      </c>
      <c r="J139" s="5" t="str">
        <f t="shared" si="7"/>
        <v>Sale</v>
      </c>
      <c r="K139" s="5">
        <f t="shared" si="8"/>
        <v>290</v>
      </c>
    </row>
    <row r="140" spans="1:11">
      <c r="A140" s="6">
        <v>46047</v>
      </c>
      <c r="B140" s="7">
        <v>0.8552777777777778</v>
      </c>
      <c r="C140" s="5" t="s">
        <v>14</v>
      </c>
      <c r="D140" s="5" t="s">
        <v>216</v>
      </c>
      <c r="E140" s="5" t="s">
        <v>16</v>
      </c>
      <c r="H140" s="5">
        <v>730</v>
      </c>
      <c r="I140" s="5" t="str">
        <f t="shared" si="6"/>
        <v>OFFLINE</v>
      </c>
      <c r="J140" s="5" t="str">
        <f t="shared" si="7"/>
        <v>Sale</v>
      </c>
      <c r="K140" s="5">
        <f t="shared" si="8"/>
        <v>730</v>
      </c>
    </row>
    <row r="141" spans="1:11">
      <c r="A141" s="6">
        <v>46047</v>
      </c>
      <c r="B141" s="7">
        <v>0.85777777777777775</v>
      </c>
      <c r="C141" s="5" t="s">
        <v>8</v>
      </c>
      <c r="D141" s="5" t="s">
        <v>217</v>
      </c>
      <c r="E141" s="5" t="s">
        <v>10</v>
      </c>
      <c r="H141" s="5">
        <v>410</v>
      </c>
      <c r="I141" s="5" t="str">
        <f t="shared" si="6"/>
        <v>OFFLINE</v>
      </c>
      <c r="J141" s="5" t="str">
        <f t="shared" si="7"/>
        <v>Sale</v>
      </c>
      <c r="K141" s="5">
        <f t="shared" si="8"/>
        <v>410</v>
      </c>
    </row>
    <row r="142" spans="1:11">
      <c r="A142" s="6">
        <v>46047</v>
      </c>
      <c r="B142" s="7">
        <v>0.86027777777777781</v>
      </c>
      <c r="C142" s="5" t="s">
        <v>11</v>
      </c>
      <c r="D142" s="5" t="s">
        <v>218</v>
      </c>
      <c r="E142" s="5" t="s">
        <v>13</v>
      </c>
      <c r="H142" s="5">
        <v>-150</v>
      </c>
      <c r="I142" s="5" t="str">
        <f t="shared" si="6"/>
        <v>OFFLINE</v>
      </c>
      <c r="J142" s="5" t="str">
        <f t="shared" si="7"/>
        <v>Return</v>
      </c>
      <c r="K142" s="5">
        <f t="shared" si="8"/>
        <v>150</v>
      </c>
    </row>
    <row r="143" spans="1:11">
      <c r="A143" s="6">
        <v>46047</v>
      </c>
      <c r="B143" s="7">
        <v>0.8627893518518519</v>
      </c>
      <c r="C143" s="5" t="s">
        <v>14</v>
      </c>
      <c r="D143" s="5" t="s">
        <v>219</v>
      </c>
      <c r="E143" s="5" t="s">
        <v>16</v>
      </c>
      <c r="F143" s="5" t="s">
        <v>220</v>
      </c>
      <c r="G143" s="5" t="s">
        <v>221</v>
      </c>
      <c r="H143" s="5">
        <v>2680</v>
      </c>
      <c r="I143" s="5" t="str">
        <f t="shared" si="6"/>
        <v>ONLINE</v>
      </c>
      <c r="J143" s="5" t="str">
        <f t="shared" si="7"/>
        <v>Sale</v>
      </c>
      <c r="K143" s="5">
        <f t="shared" si="8"/>
        <v>2680</v>
      </c>
    </row>
    <row r="144" spans="1:11">
      <c r="A144" s="6">
        <v>46047</v>
      </c>
      <c r="B144" s="7">
        <v>0.86528935185185185</v>
      </c>
      <c r="C144" s="5" t="s">
        <v>8</v>
      </c>
      <c r="D144" s="5" t="s">
        <v>222</v>
      </c>
      <c r="E144" s="5" t="s">
        <v>10</v>
      </c>
      <c r="H144" s="5">
        <v>520</v>
      </c>
      <c r="I144" s="5" t="str">
        <f t="shared" si="6"/>
        <v>OFFLINE</v>
      </c>
      <c r="J144" s="5" t="str">
        <f t="shared" si="7"/>
        <v>Sale</v>
      </c>
      <c r="K144" s="5">
        <f t="shared" si="8"/>
        <v>520</v>
      </c>
    </row>
    <row r="145" spans="1:11">
      <c r="A145" s="6">
        <v>46047</v>
      </c>
      <c r="B145" s="7">
        <v>0.86761574074074077</v>
      </c>
      <c r="C145" s="5" t="s">
        <v>11</v>
      </c>
      <c r="D145" s="5" t="s">
        <v>223</v>
      </c>
      <c r="E145" s="5" t="s">
        <v>13</v>
      </c>
      <c r="H145" s="5">
        <v>360</v>
      </c>
      <c r="I145" s="5" t="str">
        <f t="shared" si="6"/>
        <v>OFFLINE</v>
      </c>
      <c r="J145" s="5" t="str">
        <f t="shared" si="7"/>
        <v>Sale</v>
      </c>
      <c r="K145" s="5">
        <f t="shared" si="8"/>
        <v>360</v>
      </c>
    </row>
    <row r="146" spans="1:11">
      <c r="A146" s="6">
        <v>46047</v>
      </c>
      <c r="B146" s="7">
        <v>0.8699189814814815</v>
      </c>
      <c r="C146" s="5" t="s">
        <v>14</v>
      </c>
      <c r="D146" s="5" t="s">
        <v>224</v>
      </c>
      <c r="E146" s="5" t="s">
        <v>16</v>
      </c>
      <c r="H146" s="5">
        <v>980</v>
      </c>
      <c r="I146" s="5" t="str">
        <f t="shared" si="6"/>
        <v>OFFLINE</v>
      </c>
      <c r="J146" s="5" t="str">
        <f t="shared" si="7"/>
        <v>Sale</v>
      </c>
      <c r="K146" s="5">
        <f t="shared" si="8"/>
        <v>980</v>
      </c>
    </row>
    <row r="147" spans="1:11">
      <c r="A147" s="6">
        <v>46047</v>
      </c>
      <c r="B147" s="7">
        <v>0.87228009259259254</v>
      </c>
      <c r="C147" s="5" t="s">
        <v>8</v>
      </c>
      <c r="D147" s="5" t="s">
        <v>225</v>
      </c>
      <c r="E147" s="5" t="s">
        <v>10</v>
      </c>
      <c r="F147" s="5" t="s">
        <v>226</v>
      </c>
      <c r="G147" s="5" t="s">
        <v>227</v>
      </c>
      <c r="H147" s="5">
        <v>2140</v>
      </c>
      <c r="I147" s="5" t="str">
        <f t="shared" si="6"/>
        <v>ONLINE</v>
      </c>
      <c r="J147" s="5" t="str">
        <f t="shared" si="7"/>
        <v>Sale</v>
      </c>
      <c r="K147" s="5">
        <f t="shared" si="8"/>
        <v>2140</v>
      </c>
    </row>
    <row r="148" spans="1:11">
      <c r="A148" s="6">
        <v>46047</v>
      </c>
      <c r="B148" s="7">
        <v>0.87451388888888892</v>
      </c>
      <c r="C148" s="5" t="s">
        <v>11</v>
      </c>
      <c r="D148" s="5" t="s">
        <v>228</v>
      </c>
      <c r="E148" s="5" t="s">
        <v>13</v>
      </c>
      <c r="H148" s="5">
        <v>240</v>
      </c>
      <c r="I148" s="5" t="str">
        <f t="shared" si="6"/>
        <v>OFFLINE</v>
      </c>
      <c r="J148" s="5" t="str">
        <f t="shared" si="7"/>
        <v>Sale</v>
      </c>
      <c r="K148" s="5">
        <f t="shared" si="8"/>
        <v>240</v>
      </c>
    </row>
    <row r="149" spans="1:11">
      <c r="A149" s="6">
        <v>46047</v>
      </c>
      <c r="B149" s="7">
        <v>0.87689814814814815</v>
      </c>
      <c r="C149" s="5" t="s">
        <v>14</v>
      </c>
      <c r="D149" s="5" t="s">
        <v>229</v>
      </c>
      <c r="E149" s="5" t="s">
        <v>16</v>
      </c>
      <c r="H149" s="5">
        <v>760</v>
      </c>
      <c r="I149" s="5" t="str">
        <f t="shared" si="6"/>
        <v>OFFLINE</v>
      </c>
      <c r="J149" s="5" t="str">
        <f t="shared" si="7"/>
        <v>Sale</v>
      </c>
      <c r="K149" s="5">
        <f t="shared" si="8"/>
        <v>760</v>
      </c>
    </row>
    <row r="150" spans="1:11">
      <c r="A150" s="6">
        <v>46047</v>
      </c>
      <c r="B150" s="7">
        <v>0.87927083333333333</v>
      </c>
      <c r="C150" s="5" t="s">
        <v>8</v>
      </c>
      <c r="D150" s="5" t="s">
        <v>230</v>
      </c>
      <c r="E150" s="5" t="s">
        <v>10</v>
      </c>
      <c r="H150" s="5">
        <v>150</v>
      </c>
      <c r="I150" s="5" t="str">
        <f t="shared" si="6"/>
        <v>OFFLINE</v>
      </c>
      <c r="J150" s="5" t="str">
        <f t="shared" si="7"/>
        <v>Sale</v>
      </c>
      <c r="K150" s="5">
        <f t="shared" si="8"/>
        <v>150</v>
      </c>
    </row>
    <row r="151" spans="1:11">
      <c r="A151" s="6">
        <v>46047</v>
      </c>
      <c r="B151" s="7">
        <v>0.88160879629629629</v>
      </c>
      <c r="C151" s="5" t="s">
        <v>11</v>
      </c>
      <c r="D151" s="5" t="s">
        <v>231</v>
      </c>
      <c r="E151" s="5" t="s">
        <v>13</v>
      </c>
      <c r="F151" s="5" t="s">
        <v>232</v>
      </c>
      <c r="G151" s="5" t="s">
        <v>233</v>
      </c>
      <c r="H151" s="5">
        <v>1890</v>
      </c>
      <c r="I151" s="5" t="str">
        <f t="shared" si="6"/>
        <v>ONLINE</v>
      </c>
      <c r="J151" s="5" t="str">
        <f t="shared" si="7"/>
        <v>Sale</v>
      </c>
      <c r="K151" s="5">
        <f t="shared" si="8"/>
        <v>1890</v>
      </c>
    </row>
    <row r="152" spans="1:11">
      <c r="A152" s="6">
        <v>46047</v>
      </c>
      <c r="B152" s="7">
        <v>0.88398148148148148</v>
      </c>
      <c r="C152" s="5" t="s">
        <v>14</v>
      </c>
      <c r="D152" s="5" t="s">
        <v>234</v>
      </c>
      <c r="E152" s="5" t="s">
        <v>16</v>
      </c>
      <c r="H152" s="5">
        <v>420</v>
      </c>
      <c r="I152" s="5" t="str">
        <f t="shared" si="6"/>
        <v>OFFLINE</v>
      </c>
      <c r="J152" s="5" t="str">
        <f t="shared" si="7"/>
        <v>Sale</v>
      </c>
      <c r="K152" s="5">
        <f t="shared" si="8"/>
        <v>420</v>
      </c>
    </row>
    <row r="153" spans="1:11">
      <c r="A153" s="6">
        <v>46047</v>
      </c>
      <c r="B153" s="7">
        <v>0.88631944444444444</v>
      </c>
      <c r="C153" s="5" t="s">
        <v>8</v>
      </c>
      <c r="D153" s="5" t="s">
        <v>235</v>
      </c>
      <c r="E153" s="5" t="s">
        <v>10</v>
      </c>
      <c r="H153" s="5">
        <v>560</v>
      </c>
      <c r="I153" s="5" t="str">
        <f t="shared" si="6"/>
        <v>OFFLINE</v>
      </c>
      <c r="J153" s="5" t="str">
        <f t="shared" si="7"/>
        <v>Sale</v>
      </c>
      <c r="K153" s="5">
        <f t="shared" si="8"/>
        <v>560</v>
      </c>
    </row>
    <row r="154" spans="1:11">
      <c r="A154" s="6">
        <v>46047</v>
      </c>
      <c r="B154" s="7">
        <v>0.88868055555555558</v>
      </c>
      <c r="C154" s="5" t="s">
        <v>11</v>
      </c>
      <c r="D154" s="5" t="s">
        <v>236</v>
      </c>
      <c r="E154" s="5" t="s">
        <v>13</v>
      </c>
      <c r="H154" s="5">
        <v>-220</v>
      </c>
      <c r="I154" s="5" t="str">
        <f t="shared" si="6"/>
        <v>OFFLINE</v>
      </c>
      <c r="J154" s="5" t="str">
        <f t="shared" si="7"/>
        <v>Return</v>
      </c>
      <c r="K154" s="5">
        <f t="shared" si="8"/>
        <v>220</v>
      </c>
    </row>
    <row r="155" spans="1:11">
      <c r="A155" s="6">
        <v>46047</v>
      </c>
      <c r="B155" s="7">
        <v>0.89105324074074077</v>
      </c>
      <c r="C155" s="5" t="s">
        <v>14</v>
      </c>
      <c r="D155" s="5" t="s">
        <v>237</v>
      </c>
      <c r="E155" s="5" t="s">
        <v>16</v>
      </c>
      <c r="H155" s="5">
        <v>830</v>
      </c>
      <c r="I155" s="5" t="str">
        <f t="shared" si="6"/>
        <v>OFFLINE</v>
      </c>
      <c r="J155" s="5" t="str">
        <f t="shared" si="7"/>
        <v>Sale</v>
      </c>
      <c r="K155" s="5">
        <f t="shared" si="8"/>
        <v>830</v>
      </c>
    </row>
    <row r="156" spans="1:11">
      <c r="A156" s="6">
        <v>46047</v>
      </c>
      <c r="B156" s="7">
        <v>0.8934375</v>
      </c>
      <c r="C156" s="5" t="s">
        <v>8</v>
      </c>
      <c r="D156" s="5" t="s">
        <v>238</v>
      </c>
      <c r="E156" s="5" t="s">
        <v>10</v>
      </c>
      <c r="F156" s="5" t="s">
        <v>239</v>
      </c>
      <c r="G156" s="5" t="s">
        <v>240</v>
      </c>
      <c r="H156" s="5">
        <v>2750</v>
      </c>
      <c r="I156" s="5" t="str">
        <f t="shared" si="6"/>
        <v>ONLINE</v>
      </c>
      <c r="J156" s="5" t="str">
        <f t="shared" si="7"/>
        <v>Sale</v>
      </c>
      <c r="K156" s="5">
        <f t="shared" si="8"/>
        <v>2750</v>
      </c>
    </row>
    <row r="157" spans="1:11">
      <c r="A157" s="6">
        <v>46047</v>
      </c>
      <c r="B157" s="7">
        <v>0.89581018518518518</v>
      </c>
      <c r="C157" s="5" t="s">
        <v>11</v>
      </c>
      <c r="D157" s="5" t="s">
        <v>241</v>
      </c>
      <c r="E157" s="5" t="s">
        <v>13</v>
      </c>
      <c r="H157" s="5">
        <v>310</v>
      </c>
      <c r="I157" s="5" t="str">
        <f t="shared" si="6"/>
        <v>OFFLINE</v>
      </c>
      <c r="J157" s="5" t="str">
        <f t="shared" si="7"/>
        <v>Sale</v>
      </c>
      <c r="K157" s="5">
        <f t="shared" si="8"/>
        <v>310</v>
      </c>
    </row>
    <row r="158" spans="1:11">
      <c r="A158" s="6">
        <v>46047</v>
      </c>
      <c r="B158" s="7">
        <v>0.89819444444444441</v>
      </c>
      <c r="C158" s="5" t="s">
        <v>14</v>
      </c>
      <c r="D158" s="5" t="s">
        <v>242</v>
      </c>
      <c r="E158" s="5" t="s">
        <v>16</v>
      </c>
      <c r="H158" s="5">
        <v>640</v>
      </c>
      <c r="I158" s="5" t="str">
        <f t="shared" si="6"/>
        <v>OFFLINE</v>
      </c>
      <c r="J158" s="5" t="str">
        <f t="shared" si="7"/>
        <v>Sale</v>
      </c>
      <c r="K158" s="5">
        <f t="shared" si="8"/>
        <v>640</v>
      </c>
    </row>
    <row r="159" spans="1:11">
      <c r="A159" s="6">
        <v>46047</v>
      </c>
      <c r="B159" s="7">
        <v>0.90059027777777778</v>
      </c>
      <c r="C159" s="5" t="s">
        <v>8</v>
      </c>
      <c r="D159" s="5" t="s">
        <v>243</v>
      </c>
      <c r="E159" s="5" t="s">
        <v>10</v>
      </c>
      <c r="H159" s="5">
        <v>980</v>
      </c>
      <c r="I159" s="5" t="str">
        <f t="shared" si="6"/>
        <v>OFFLINE</v>
      </c>
      <c r="J159" s="5" t="str">
        <f t="shared" si="7"/>
        <v>Sale</v>
      </c>
      <c r="K159" s="5">
        <f t="shared" si="8"/>
        <v>980</v>
      </c>
    </row>
    <row r="160" spans="1:11">
      <c r="A160" s="6">
        <v>46047</v>
      </c>
      <c r="B160" s="7">
        <v>0.90296296296296297</v>
      </c>
      <c r="C160" s="5" t="s">
        <v>11</v>
      </c>
      <c r="D160" s="5" t="s">
        <v>244</v>
      </c>
      <c r="E160" s="5" t="s">
        <v>13</v>
      </c>
      <c r="F160" s="5" t="s">
        <v>245</v>
      </c>
      <c r="G160" s="5" t="s">
        <v>246</v>
      </c>
      <c r="H160" s="5">
        <v>1620</v>
      </c>
      <c r="I160" s="5" t="str">
        <f t="shared" si="6"/>
        <v>ONLINE</v>
      </c>
      <c r="J160" s="5" t="str">
        <f t="shared" si="7"/>
        <v>Sale</v>
      </c>
      <c r="K160" s="5">
        <f t="shared" si="8"/>
        <v>1620</v>
      </c>
    </row>
    <row r="161" spans="1:11">
      <c r="A161" s="6">
        <v>46047</v>
      </c>
      <c r="B161" s="7">
        <v>0.90531249999999996</v>
      </c>
      <c r="C161" s="5" t="s">
        <v>14</v>
      </c>
      <c r="D161" s="5" t="s">
        <v>247</v>
      </c>
      <c r="E161" s="5" t="s">
        <v>16</v>
      </c>
      <c r="H161" s="5">
        <v>270</v>
      </c>
      <c r="I161" s="5" t="str">
        <f t="shared" si="6"/>
        <v>OFFLINE</v>
      </c>
      <c r="J161" s="5" t="str">
        <f t="shared" si="7"/>
        <v>Sale</v>
      </c>
      <c r="K161" s="5">
        <f t="shared" si="8"/>
        <v>270</v>
      </c>
    </row>
    <row r="162" spans="1:11">
      <c r="A162" s="6">
        <v>46047</v>
      </c>
      <c r="B162" s="7">
        <v>0.9076967592592593</v>
      </c>
      <c r="C162" s="5" t="s">
        <v>8</v>
      </c>
      <c r="D162" s="5" t="s">
        <v>248</v>
      </c>
      <c r="E162" s="5" t="s">
        <v>10</v>
      </c>
      <c r="H162" s="5">
        <v>1340</v>
      </c>
      <c r="I162" s="5" t="str">
        <f t="shared" si="6"/>
        <v>OFFLINE</v>
      </c>
      <c r="J162" s="5" t="str">
        <f t="shared" si="7"/>
        <v>Sale</v>
      </c>
      <c r="K162" s="5">
        <f t="shared" si="8"/>
        <v>1340</v>
      </c>
    </row>
    <row r="163" spans="1:11">
      <c r="A163" s="6">
        <v>46047</v>
      </c>
      <c r="B163" s="7">
        <v>0.9100462962962963</v>
      </c>
      <c r="C163" s="5" t="s">
        <v>11</v>
      </c>
      <c r="D163" s="5" t="s">
        <v>249</v>
      </c>
      <c r="E163" s="5" t="s">
        <v>13</v>
      </c>
      <c r="H163" s="5">
        <v>490</v>
      </c>
      <c r="I163" s="5" t="str">
        <f t="shared" si="6"/>
        <v>OFFLINE</v>
      </c>
      <c r="J163" s="5" t="str">
        <f t="shared" si="7"/>
        <v>Sale</v>
      </c>
      <c r="K163" s="5">
        <f t="shared" si="8"/>
        <v>490</v>
      </c>
    </row>
    <row r="164" spans="1:11">
      <c r="A164" s="6">
        <v>46047</v>
      </c>
      <c r="B164" s="7">
        <v>0.91243055555555552</v>
      </c>
      <c r="C164" s="5" t="s">
        <v>14</v>
      </c>
      <c r="D164" s="5" t="s">
        <v>250</v>
      </c>
      <c r="E164" s="5" t="s">
        <v>16</v>
      </c>
      <c r="F164" s="5" t="s">
        <v>251</v>
      </c>
      <c r="G164" s="5" t="s">
        <v>252</v>
      </c>
      <c r="H164" s="5">
        <v>3050</v>
      </c>
      <c r="I164" s="5" t="str">
        <f t="shared" si="6"/>
        <v>ONLINE</v>
      </c>
      <c r="J164" s="5" t="str">
        <f t="shared" si="7"/>
        <v>Sale</v>
      </c>
      <c r="K164" s="5">
        <f t="shared" si="8"/>
        <v>3050</v>
      </c>
    </row>
    <row r="165" spans="1:11">
      <c r="A165" s="6">
        <v>46047</v>
      </c>
      <c r="B165" s="7">
        <v>0.91480324074074071</v>
      </c>
      <c r="C165" s="5" t="s">
        <v>8</v>
      </c>
      <c r="D165" s="5" t="s">
        <v>253</v>
      </c>
      <c r="E165" s="5" t="s">
        <v>10</v>
      </c>
      <c r="H165" s="5">
        <v>220</v>
      </c>
      <c r="I165" s="5" t="str">
        <f t="shared" si="6"/>
        <v>OFFLINE</v>
      </c>
      <c r="J165" s="5" t="str">
        <f t="shared" si="7"/>
        <v>Sale</v>
      </c>
      <c r="K165" s="5">
        <f t="shared" si="8"/>
        <v>220</v>
      </c>
    </row>
    <row r="166" spans="1:11">
      <c r="A166" s="6">
        <v>46047</v>
      </c>
      <c r="B166" s="7">
        <v>0.91717592592592589</v>
      </c>
      <c r="C166" s="5" t="s">
        <v>11</v>
      </c>
      <c r="D166" s="5" t="s">
        <v>254</v>
      </c>
      <c r="E166" s="5" t="s">
        <v>13</v>
      </c>
      <c r="H166" s="5">
        <v>870</v>
      </c>
      <c r="I166" s="5" t="str">
        <f t="shared" si="6"/>
        <v>OFFLINE</v>
      </c>
      <c r="J166" s="5" t="str">
        <f t="shared" si="7"/>
        <v>Sale</v>
      </c>
      <c r="K166" s="5">
        <f t="shared" si="8"/>
        <v>870</v>
      </c>
    </row>
    <row r="167" spans="1:11">
      <c r="A167" s="6">
        <v>46047</v>
      </c>
      <c r="B167" s="7">
        <v>0.91942129629629632</v>
      </c>
      <c r="C167" s="5" t="s">
        <v>14</v>
      </c>
      <c r="D167" s="5" t="s">
        <v>255</v>
      </c>
      <c r="E167" s="5" t="s">
        <v>16</v>
      </c>
      <c r="H167" s="5">
        <v>410</v>
      </c>
      <c r="I167" s="5" t="str">
        <f t="shared" si="6"/>
        <v>OFFLINE</v>
      </c>
      <c r="J167" s="5" t="str">
        <f t="shared" si="7"/>
        <v>Sale</v>
      </c>
      <c r="K167" s="5">
        <f t="shared" si="8"/>
        <v>410</v>
      </c>
    </row>
    <row r="168" spans="1:11">
      <c r="A168" s="6">
        <v>46047</v>
      </c>
      <c r="B168" s="7">
        <v>0.92182870370370373</v>
      </c>
      <c r="C168" s="5" t="s">
        <v>8</v>
      </c>
      <c r="D168" s="5" t="s">
        <v>256</v>
      </c>
      <c r="E168" s="5" t="s">
        <v>10</v>
      </c>
      <c r="F168" s="5" t="s">
        <v>257</v>
      </c>
      <c r="G168" s="5" t="s">
        <v>258</v>
      </c>
      <c r="H168" s="5">
        <v>2480</v>
      </c>
      <c r="I168" s="5" t="str">
        <f t="shared" si="6"/>
        <v>ONLINE</v>
      </c>
      <c r="J168" s="5" t="str">
        <f t="shared" si="7"/>
        <v>Sale</v>
      </c>
      <c r="K168" s="5">
        <f t="shared" si="8"/>
        <v>2480</v>
      </c>
    </row>
    <row r="169" spans="1:11">
      <c r="A169" s="6">
        <v>46047</v>
      </c>
      <c r="B169" s="7">
        <v>0.92420138888888892</v>
      </c>
      <c r="C169" s="5" t="s">
        <v>11</v>
      </c>
      <c r="D169" s="5" t="s">
        <v>259</v>
      </c>
      <c r="E169" s="5" t="s">
        <v>13</v>
      </c>
      <c r="H169" s="5">
        <v>-180</v>
      </c>
      <c r="I169" s="5" t="str">
        <f t="shared" si="6"/>
        <v>OFFLINE</v>
      </c>
      <c r="J169" s="5" t="str">
        <f t="shared" si="7"/>
        <v>Return</v>
      </c>
      <c r="K169" s="5">
        <f t="shared" si="8"/>
        <v>180</v>
      </c>
    </row>
    <row r="170" spans="1:11">
      <c r="A170" s="6">
        <v>46047</v>
      </c>
      <c r="B170" s="7">
        <v>0.92658564814814814</v>
      </c>
      <c r="C170" s="5" t="s">
        <v>14</v>
      </c>
      <c r="D170" s="5" t="s">
        <v>260</v>
      </c>
      <c r="E170" s="5" t="s">
        <v>16</v>
      </c>
      <c r="H170" s="5">
        <v>690</v>
      </c>
      <c r="I170" s="5" t="str">
        <f t="shared" si="6"/>
        <v>OFFLINE</v>
      </c>
      <c r="J170" s="5" t="str">
        <f t="shared" si="7"/>
        <v>Sale</v>
      </c>
      <c r="K170" s="5">
        <f t="shared" si="8"/>
        <v>690</v>
      </c>
    </row>
    <row r="171" spans="1:11">
      <c r="A171" s="6">
        <v>46047</v>
      </c>
      <c r="B171" s="7">
        <v>0.92895833333333333</v>
      </c>
      <c r="C171" s="5" t="s">
        <v>8</v>
      </c>
      <c r="D171" s="5" t="s">
        <v>261</v>
      </c>
      <c r="E171" s="5" t="s">
        <v>10</v>
      </c>
      <c r="H171" s="5">
        <v>360</v>
      </c>
      <c r="I171" s="5" t="str">
        <f t="shared" si="6"/>
        <v>OFFLINE</v>
      </c>
      <c r="J171" s="5" t="str">
        <f t="shared" si="7"/>
        <v>Sale</v>
      </c>
      <c r="K171" s="5">
        <f t="shared" si="8"/>
        <v>360</v>
      </c>
    </row>
    <row r="172" spans="1:11">
      <c r="A172" s="6">
        <v>46047</v>
      </c>
      <c r="B172" s="7">
        <v>0.93131944444444448</v>
      </c>
      <c r="C172" s="5" t="s">
        <v>11</v>
      </c>
      <c r="D172" s="5" t="s">
        <v>262</v>
      </c>
      <c r="E172" s="5" t="s">
        <v>13</v>
      </c>
      <c r="F172" s="5" t="s">
        <v>263</v>
      </c>
      <c r="G172" s="5" t="s">
        <v>264</v>
      </c>
      <c r="H172" s="5">
        <v>1920</v>
      </c>
      <c r="I172" s="5" t="str">
        <f t="shared" si="6"/>
        <v>ONLINE</v>
      </c>
      <c r="J172" s="5" t="str">
        <f t="shared" si="7"/>
        <v>Sale</v>
      </c>
      <c r="K172" s="5">
        <f t="shared" si="8"/>
        <v>1920</v>
      </c>
    </row>
    <row r="173" spans="1:11">
      <c r="A173" s="6">
        <v>46047</v>
      </c>
      <c r="B173" s="7">
        <v>0.93319444444444444</v>
      </c>
      <c r="C173" s="5" t="s">
        <v>14</v>
      </c>
      <c r="D173" s="5" t="s">
        <v>265</v>
      </c>
      <c r="E173" s="5" t="s">
        <v>16</v>
      </c>
      <c r="H173" s="5">
        <v>540</v>
      </c>
      <c r="I173" s="5" t="str">
        <f t="shared" si="6"/>
        <v>OFFLINE</v>
      </c>
      <c r="J173" s="5" t="str">
        <f t="shared" si="7"/>
        <v>Sale</v>
      </c>
      <c r="K173" s="5">
        <f t="shared" si="8"/>
        <v>540</v>
      </c>
    </row>
    <row r="174" spans="1:11">
      <c r="A174" s="6">
        <v>46047</v>
      </c>
      <c r="B174" s="7">
        <v>0.93398148148148152</v>
      </c>
      <c r="C174" s="5" t="s">
        <v>8</v>
      </c>
      <c r="D174" s="5" t="s">
        <v>266</v>
      </c>
      <c r="E174" s="5" t="s">
        <v>10</v>
      </c>
      <c r="H174" s="5">
        <v>260</v>
      </c>
      <c r="I174" s="5" t="str">
        <f t="shared" si="6"/>
        <v>OFFLINE</v>
      </c>
      <c r="J174" s="5" t="str">
        <f t="shared" si="7"/>
        <v>Sale</v>
      </c>
      <c r="K174" s="5">
        <f t="shared" si="8"/>
        <v>260</v>
      </c>
    </row>
    <row r="175" spans="1:11">
      <c r="A175" s="6">
        <v>46047</v>
      </c>
      <c r="B175" s="7">
        <v>0.93442129629629633</v>
      </c>
      <c r="C175" s="5" t="s">
        <v>11</v>
      </c>
      <c r="D175" s="5" t="s">
        <v>267</v>
      </c>
      <c r="E175" s="5" t="s">
        <v>13</v>
      </c>
      <c r="H175" s="5">
        <v>720</v>
      </c>
      <c r="I175" s="5" t="str">
        <f t="shared" si="6"/>
        <v>OFFLINE</v>
      </c>
      <c r="J175" s="5" t="str">
        <f t="shared" si="7"/>
        <v>Sale</v>
      </c>
      <c r="K175" s="5">
        <f t="shared" si="8"/>
        <v>720</v>
      </c>
    </row>
    <row r="176" spans="1:11">
      <c r="A176" s="6">
        <v>46047</v>
      </c>
      <c r="B176" s="7">
        <v>0.93475694444444446</v>
      </c>
      <c r="C176" s="5" t="s">
        <v>14</v>
      </c>
      <c r="D176" s="5" t="s">
        <v>268</v>
      </c>
      <c r="E176" s="5" t="s">
        <v>16</v>
      </c>
      <c r="F176" s="5" t="s">
        <v>269</v>
      </c>
      <c r="G176" s="5" t="s">
        <v>270</v>
      </c>
      <c r="H176" s="5">
        <v>3580</v>
      </c>
      <c r="I176" s="5" t="str">
        <f t="shared" si="6"/>
        <v>ONLINE</v>
      </c>
      <c r="J176" s="5" t="str">
        <f t="shared" si="7"/>
        <v>Sale</v>
      </c>
      <c r="K176" s="5">
        <f t="shared" si="8"/>
        <v>3580</v>
      </c>
    </row>
    <row r="177" spans="1:11">
      <c r="A177" s="6">
        <v>46047</v>
      </c>
      <c r="B177" s="7">
        <v>0.93503472222222217</v>
      </c>
      <c r="C177" s="5" t="s">
        <v>8</v>
      </c>
      <c r="D177" s="5" t="s">
        <v>271</v>
      </c>
      <c r="E177" s="5" t="s">
        <v>10</v>
      </c>
      <c r="H177" s="5">
        <v>110</v>
      </c>
      <c r="I177" s="5" t="str">
        <f t="shared" si="6"/>
        <v>OFFLINE</v>
      </c>
      <c r="J177" s="5" t="str">
        <f t="shared" si="7"/>
        <v>Sale</v>
      </c>
      <c r="K177" s="5">
        <f t="shared" si="8"/>
        <v>110</v>
      </c>
    </row>
    <row r="178" spans="1:11">
      <c r="A178" s="6">
        <v>46047</v>
      </c>
      <c r="B178" s="7">
        <v>0.93531249999999999</v>
      </c>
      <c r="C178" s="5" t="s">
        <v>11</v>
      </c>
      <c r="D178" s="5" t="s">
        <v>272</v>
      </c>
      <c r="E178" s="5" t="s">
        <v>13</v>
      </c>
      <c r="H178" s="5">
        <v>430</v>
      </c>
      <c r="I178" s="5" t="str">
        <f t="shared" si="6"/>
        <v>OFFLINE</v>
      </c>
      <c r="J178" s="5" t="str">
        <f t="shared" si="7"/>
        <v>Sale</v>
      </c>
      <c r="K178" s="5">
        <f t="shared" si="8"/>
        <v>430</v>
      </c>
    </row>
    <row r="179" spans="1:11">
      <c r="A179" s="6">
        <v>46047</v>
      </c>
      <c r="B179" s="7">
        <v>0.93557870370370366</v>
      </c>
      <c r="C179" s="5" t="s">
        <v>14</v>
      </c>
      <c r="D179" s="5" t="s">
        <v>273</v>
      </c>
      <c r="E179" s="5" t="s">
        <v>16</v>
      </c>
      <c r="H179" s="5">
        <v>880</v>
      </c>
      <c r="I179" s="5" t="str">
        <f t="shared" si="6"/>
        <v>OFFLINE</v>
      </c>
      <c r="J179" s="5" t="str">
        <f t="shared" si="7"/>
        <v>Sale</v>
      </c>
      <c r="K179" s="5">
        <f t="shared" si="8"/>
        <v>880</v>
      </c>
    </row>
    <row r="180" spans="1:11">
      <c r="A180" s="6">
        <v>46047</v>
      </c>
      <c r="B180" s="7">
        <v>0.93585648148148148</v>
      </c>
      <c r="C180" s="5" t="s">
        <v>8</v>
      </c>
      <c r="D180" s="5" t="s">
        <v>274</v>
      </c>
      <c r="E180" s="5" t="s">
        <v>10</v>
      </c>
      <c r="F180" s="5" t="s">
        <v>275</v>
      </c>
      <c r="G180" s="5" t="s">
        <v>276</v>
      </c>
      <c r="H180" s="5">
        <v>1650</v>
      </c>
      <c r="I180" s="5" t="str">
        <f t="shared" si="6"/>
        <v>ONLINE</v>
      </c>
      <c r="J180" s="5" t="str">
        <f t="shared" si="7"/>
        <v>Sale</v>
      </c>
      <c r="K180" s="5">
        <f t="shared" si="8"/>
        <v>1650</v>
      </c>
    </row>
    <row r="181" spans="1:11">
      <c r="A181" s="6">
        <v>46047</v>
      </c>
      <c r="B181" s="7">
        <v>0.93609953703703708</v>
      </c>
      <c r="C181" s="5" t="s">
        <v>11</v>
      </c>
      <c r="D181" s="5" t="s">
        <v>277</v>
      </c>
      <c r="E181" s="5" t="s">
        <v>13</v>
      </c>
      <c r="H181" s="5">
        <v>290</v>
      </c>
      <c r="I181" s="5" t="str">
        <f t="shared" si="6"/>
        <v>OFFLINE</v>
      </c>
      <c r="J181" s="5" t="str">
        <f t="shared" si="7"/>
        <v>Sale</v>
      </c>
      <c r="K181" s="5">
        <f t="shared" si="8"/>
        <v>290</v>
      </c>
    </row>
    <row r="182" spans="1:11">
      <c r="A182" s="6">
        <v>46047</v>
      </c>
      <c r="B182" s="7">
        <v>0.93635416666666671</v>
      </c>
      <c r="C182" s="5" t="s">
        <v>14</v>
      </c>
      <c r="D182" s="5" t="s">
        <v>278</v>
      </c>
      <c r="E182" s="5" t="s">
        <v>16</v>
      </c>
      <c r="H182" s="5">
        <v>-140</v>
      </c>
      <c r="I182" s="5" t="str">
        <f t="shared" si="6"/>
        <v>OFFLINE</v>
      </c>
      <c r="J182" s="5" t="str">
        <f t="shared" si="7"/>
        <v>Return</v>
      </c>
      <c r="K182" s="5">
        <f t="shared" si="8"/>
        <v>140</v>
      </c>
    </row>
    <row r="183" spans="1:11">
      <c r="A183" s="6">
        <v>46047</v>
      </c>
      <c r="B183" s="7">
        <v>0.93660879629629634</v>
      </c>
      <c r="C183" s="5" t="s">
        <v>8</v>
      </c>
      <c r="D183" s="5" t="s">
        <v>279</v>
      </c>
      <c r="E183" s="5" t="s">
        <v>10</v>
      </c>
      <c r="H183" s="5">
        <v>510</v>
      </c>
      <c r="I183" s="5" t="str">
        <f t="shared" si="6"/>
        <v>OFFLINE</v>
      </c>
      <c r="J183" s="5" t="str">
        <f t="shared" si="7"/>
        <v>Sale</v>
      </c>
      <c r="K183" s="5">
        <f t="shared" si="8"/>
        <v>510</v>
      </c>
    </row>
    <row r="184" spans="1:11">
      <c r="A184" s="6">
        <v>46047</v>
      </c>
      <c r="B184" s="7">
        <v>0.93686342592592597</v>
      </c>
      <c r="C184" s="5" t="s">
        <v>11</v>
      </c>
      <c r="D184" s="5" t="s">
        <v>280</v>
      </c>
      <c r="E184" s="5" t="s">
        <v>13</v>
      </c>
      <c r="F184" s="5" t="s">
        <v>281</v>
      </c>
      <c r="G184" s="5" t="s">
        <v>282</v>
      </c>
      <c r="H184" s="5">
        <v>2240</v>
      </c>
      <c r="I184" s="5" t="str">
        <f t="shared" si="6"/>
        <v>ONLINE</v>
      </c>
      <c r="J184" s="5" t="str">
        <f t="shared" si="7"/>
        <v>Sale</v>
      </c>
      <c r="K184" s="5">
        <f t="shared" si="8"/>
        <v>2240</v>
      </c>
    </row>
    <row r="185" spans="1:11">
      <c r="A185" s="6">
        <v>46047</v>
      </c>
      <c r="B185" s="7">
        <v>0.93710648148148146</v>
      </c>
      <c r="C185" s="5" t="s">
        <v>14</v>
      </c>
      <c r="D185" s="5" t="s">
        <v>283</v>
      </c>
      <c r="E185" s="5" t="s">
        <v>16</v>
      </c>
      <c r="H185" s="5">
        <v>370</v>
      </c>
      <c r="I185" s="5" t="str">
        <f t="shared" si="6"/>
        <v>OFFLINE</v>
      </c>
      <c r="J185" s="5" t="str">
        <f t="shared" si="7"/>
        <v>Sale</v>
      </c>
      <c r="K185" s="5">
        <f t="shared" si="8"/>
        <v>370</v>
      </c>
    </row>
    <row r="186" spans="1:11">
      <c r="A186" s="6">
        <v>46047</v>
      </c>
      <c r="B186" s="7">
        <v>0.93736111111111109</v>
      </c>
      <c r="C186" s="5" t="s">
        <v>8</v>
      </c>
      <c r="D186" s="5" t="s">
        <v>284</v>
      </c>
      <c r="E186" s="5" t="s">
        <v>10</v>
      </c>
      <c r="H186" s="5">
        <v>960</v>
      </c>
      <c r="I186" s="5" t="str">
        <f t="shared" si="6"/>
        <v>OFFLINE</v>
      </c>
      <c r="J186" s="5" t="str">
        <f t="shared" si="7"/>
        <v>Sale</v>
      </c>
      <c r="K186" s="5">
        <f t="shared" si="8"/>
        <v>960</v>
      </c>
    </row>
    <row r="187" spans="1:11">
      <c r="A187" s="6">
        <v>46047</v>
      </c>
      <c r="B187" s="7">
        <v>0.93755787037037042</v>
      </c>
      <c r="C187" s="5" t="s">
        <v>11</v>
      </c>
      <c r="D187" s="5" t="s">
        <v>285</v>
      </c>
      <c r="E187" s="5" t="s">
        <v>13</v>
      </c>
      <c r="H187" s="5">
        <v>180</v>
      </c>
      <c r="I187" s="5" t="str">
        <f t="shared" si="6"/>
        <v>OFFLINE</v>
      </c>
      <c r="J187" s="5" t="str">
        <f t="shared" si="7"/>
        <v>Sale</v>
      </c>
      <c r="K187" s="5">
        <f t="shared" si="8"/>
        <v>180</v>
      </c>
    </row>
    <row r="188" spans="1:11">
      <c r="A188" s="6">
        <v>46047</v>
      </c>
      <c r="B188" s="7">
        <v>0.93770833333333337</v>
      </c>
      <c r="C188" s="5" t="s">
        <v>14</v>
      </c>
      <c r="D188" s="5" t="s">
        <v>286</v>
      </c>
      <c r="E188" s="5" t="s">
        <v>16</v>
      </c>
      <c r="F188" s="5" t="s">
        <v>287</v>
      </c>
      <c r="G188" s="5" t="s">
        <v>288</v>
      </c>
      <c r="H188" s="5">
        <v>2890</v>
      </c>
      <c r="I188" s="5" t="str">
        <f t="shared" si="6"/>
        <v>ONLINE</v>
      </c>
      <c r="J188" s="5" t="str">
        <f t="shared" si="7"/>
        <v>Sale</v>
      </c>
      <c r="K188" s="5">
        <f t="shared" si="8"/>
        <v>2890</v>
      </c>
    </row>
    <row r="189" spans="1:11">
      <c r="A189" s="6">
        <v>46047</v>
      </c>
      <c r="B189" s="7">
        <v>0.9378009259259259</v>
      </c>
      <c r="C189" s="5" t="s">
        <v>8</v>
      </c>
      <c r="D189" s="5" t="s">
        <v>289</v>
      </c>
      <c r="E189" s="5" t="s">
        <v>10</v>
      </c>
      <c r="H189" s="5">
        <v>420</v>
      </c>
      <c r="I189" s="5" t="str">
        <f t="shared" si="6"/>
        <v>OFFLINE</v>
      </c>
      <c r="J189" s="5" t="str">
        <f t="shared" si="7"/>
        <v>Sale</v>
      </c>
      <c r="K189" s="5">
        <f t="shared" si="8"/>
        <v>420</v>
      </c>
    </row>
    <row r="190" spans="1:11">
      <c r="A190" s="6">
        <v>46047</v>
      </c>
      <c r="B190" s="7">
        <v>0.93783564814814813</v>
      </c>
      <c r="C190" s="5" t="s">
        <v>11</v>
      </c>
      <c r="D190" s="5" t="s">
        <v>290</v>
      </c>
      <c r="E190" s="5" t="s">
        <v>13</v>
      </c>
      <c r="H190" s="5">
        <v>650</v>
      </c>
      <c r="I190" s="5" t="str">
        <f t="shared" si="6"/>
        <v>OFFLINE</v>
      </c>
      <c r="J190" s="5" t="str">
        <f t="shared" si="7"/>
        <v>Sale</v>
      </c>
      <c r="K190" s="5">
        <f t="shared" si="8"/>
        <v>650</v>
      </c>
    </row>
    <row r="191" spans="1:11">
      <c r="A191" s="6">
        <v>46047</v>
      </c>
      <c r="B191" s="7">
        <v>0.9375</v>
      </c>
      <c r="C191" s="5" t="s">
        <v>14</v>
      </c>
      <c r="D191" s="5" t="s">
        <v>291</v>
      </c>
      <c r="E191" s="5" t="s">
        <v>16</v>
      </c>
      <c r="H191" s="5">
        <v>380</v>
      </c>
      <c r="I191" s="5" t="str">
        <f t="shared" si="6"/>
        <v>OFFLINE</v>
      </c>
      <c r="J191" s="5" t="str">
        <f t="shared" si="7"/>
        <v>Sale</v>
      </c>
      <c r="K191" s="5">
        <f t="shared" si="8"/>
        <v>380</v>
      </c>
    </row>
    <row r="192" spans="1:11">
      <c r="A192" s="6">
        <v>46047</v>
      </c>
      <c r="B192" s="7">
        <v>0.93729166666666663</v>
      </c>
      <c r="C192" s="5" t="s">
        <v>8</v>
      </c>
      <c r="D192" s="5" t="s">
        <v>292</v>
      </c>
      <c r="E192" s="5" t="s">
        <v>10</v>
      </c>
      <c r="F192" s="5" t="s">
        <v>293</v>
      </c>
      <c r="G192" s="5" t="s">
        <v>294</v>
      </c>
      <c r="H192" s="5">
        <v>1760</v>
      </c>
      <c r="I192" s="5" t="str">
        <f t="shared" si="6"/>
        <v>ONLINE</v>
      </c>
      <c r="J192" s="5" t="str">
        <f t="shared" si="7"/>
        <v>Sale</v>
      </c>
      <c r="K192" s="5">
        <f t="shared" si="8"/>
        <v>1760</v>
      </c>
    </row>
    <row r="193" spans="1:11">
      <c r="A193" s="6">
        <v>46047</v>
      </c>
      <c r="B193" s="7">
        <v>0.93701388888888892</v>
      </c>
      <c r="C193" s="5" t="s">
        <v>11</v>
      </c>
      <c r="D193" s="5" t="s">
        <v>295</v>
      </c>
      <c r="E193" s="5" t="s">
        <v>13</v>
      </c>
      <c r="H193" s="5">
        <v>240</v>
      </c>
      <c r="I193" s="5" t="str">
        <f t="shared" si="6"/>
        <v>OFFLINE</v>
      </c>
      <c r="J193" s="5" t="str">
        <f t="shared" si="7"/>
        <v>Sale</v>
      </c>
      <c r="K193" s="5">
        <f t="shared" si="8"/>
        <v>240</v>
      </c>
    </row>
    <row r="194" spans="1:11">
      <c r="A194" s="6">
        <v>46047</v>
      </c>
      <c r="B194" s="7">
        <v>0.93674768518518514</v>
      </c>
      <c r="C194" s="5" t="s">
        <v>14</v>
      </c>
      <c r="D194" s="5" t="s">
        <v>296</v>
      </c>
      <c r="E194" s="5" t="s">
        <v>16</v>
      </c>
      <c r="H194" s="5">
        <v>690</v>
      </c>
      <c r="I194" s="5" t="str">
        <f t="shared" ref="I194:I257" si="9">IF(F194="","OFFLINE","ONLINE")</f>
        <v>OFFLINE</v>
      </c>
      <c r="J194" s="5" t="str">
        <f t="shared" ref="J194:J257" si="10">IF(H194 &lt; 0, "Return", "Sale")</f>
        <v>Sale</v>
      </c>
      <c r="K194" s="5">
        <f t="shared" ref="K194:K257" si="11">ABS(H194)</f>
        <v>690</v>
      </c>
    </row>
    <row r="195" spans="1:11">
      <c r="A195" s="6">
        <v>46047</v>
      </c>
      <c r="B195" s="7">
        <v>0.93646990740740743</v>
      </c>
      <c r="C195" s="5" t="s">
        <v>8</v>
      </c>
      <c r="D195" s="5" t="s">
        <v>297</v>
      </c>
      <c r="E195" s="5" t="s">
        <v>10</v>
      </c>
      <c r="H195" s="5">
        <v>120</v>
      </c>
      <c r="I195" s="5" t="str">
        <f t="shared" si="9"/>
        <v>OFFLINE</v>
      </c>
      <c r="J195" s="5" t="str">
        <f t="shared" si="10"/>
        <v>Sale</v>
      </c>
      <c r="K195" s="5">
        <f t="shared" si="11"/>
        <v>120</v>
      </c>
    </row>
    <row r="196" spans="1:11">
      <c r="A196" s="6">
        <v>46047</v>
      </c>
      <c r="B196" s="7">
        <v>0.93618055555555557</v>
      </c>
      <c r="C196" s="5" t="s">
        <v>11</v>
      </c>
      <c r="D196" s="5" t="s">
        <v>298</v>
      </c>
      <c r="E196" s="5" t="s">
        <v>13</v>
      </c>
      <c r="F196" s="5" t="s">
        <v>299</v>
      </c>
      <c r="G196" s="5" t="s">
        <v>300</v>
      </c>
      <c r="H196" s="5">
        <v>2480</v>
      </c>
      <c r="I196" s="5" t="str">
        <f t="shared" si="9"/>
        <v>ONLINE</v>
      </c>
      <c r="J196" s="5" t="str">
        <f t="shared" si="10"/>
        <v>Sale</v>
      </c>
      <c r="K196" s="5">
        <f t="shared" si="11"/>
        <v>2480</v>
      </c>
    </row>
    <row r="197" spans="1:11">
      <c r="A197" s="6">
        <v>46047</v>
      </c>
      <c r="B197" s="7">
        <v>0.93592592592592594</v>
      </c>
      <c r="C197" s="5" t="s">
        <v>14</v>
      </c>
      <c r="D197" s="5" t="s">
        <v>301</v>
      </c>
      <c r="E197" s="5" t="s">
        <v>16</v>
      </c>
      <c r="H197" s="5">
        <v>510</v>
      </c>
      <c r="I197" s="5" t="str">
        <f t="shared" si="9"/>
        <v>OFFLINE</v>
      </c>
      <c r="J197" s="5" t="str">
        <f t="shared" si="10"/>
        <v>Sale</v>
      </c>
      <c r="K197" s="5">
        <f t="shared" si="11"/>
        <v>510</v>
      </c>
    </row>
    <row r="198" spans="1:11">
      <c r="A198" s="6">
        <v>46047</v>
      </c>
      <c r="B198" s="7">
        <v>0.93563657407407408</v>
      </c>
      <c r="C198" s="5" t="s">
        <v>8</v>
      </c>
      <c r="D198" s="5" t="s">
        <v>302</v>
      </c>
      <c r="E198" s="5" t="s">
        <v>10</v>
      </c>
      <c r="H198" s="5">
        <v>830</v>
      </c>
      <c r="I198" s="5" t="str">
        <f t="shared" si="9"/>
        <v>OFFLINE</v>
      </c>
      <c r="J198" s="5" t="str">
        <f t="shared" si="10"/>
        <v>Sale</v>
      </c>
      <c r="K198" s="5">
        <f t="shared" si="11"/>
        <v>830</v>
      </c>
    </row>
    <row r="199" spans="1:11">
      <c r="A199" s="6">
        <v>46047</v>
      </c>
      <c r="B199" s="7">
        <v>0.93533564814814818</v>
      </c>
      <c r="C199" s="5" t="s">
        <v>11</v>
      </c>
      <c r="D199" s="5" t="s">
        <v>303</v>
      </c>
      <c r="E199" s="5" t="s">
        <v>13</v>
      </c>
      <c r="H199" s="5">
        <v>290</v>
      </c>
      <c r="I199" s="5" t="str">
        <f t="shared" si="9"/>
        <v>OFFLINE</v>
      </c>
      <c r="J199" s="5" t="str">
        <f t="shared" si="10"/>
        <v>Sale</v>
      </c>
      <c r="K199" s="5">
        <f t="shared" si="11"/>
        <v>290</v>
      </c>
    </row>
    <row r="200" spans="1:11">
      <c r="A200" s="6">
        <v>46047</v>
      </c>
      <c r="B200" s="7">
        <v>0.93505787037037036</v>
      </c>
      <c r="C200" s="5" t="s">
        <v>14</v>
      </c>
      <c r="D200" s="5" t="s">
        <v>304</v>
      </c>
      <c r="E200" s="5" t="s">
        <v>16</v>
      </c>
      <c r="H200" s="5">
        <v>-160</v>
      </c>
      <c r="I200" s="5" t="str">
        <f t="shared" si="9"/>
        <v>OFFLINE</v>
      </c>
      <c r="J200" s="5" t="str">
        <f t="shared" si="10"/>
        <v>Return</v>
      </c>
      <c r="K200" s="5">
        <f t="shared" si="11"/>
        <v>160</v>
      </c>
    </row>
    <row r="201" spans="1:11">
      <c r="A201" s="6">
        <v>46047</v>
      </c>
      <c r="B201" s="7">
        <v>0.9347685185185185</v>
      </c>
      <c r="C201" s="5" t="s">
        <v>8</v>
      </c>
      <c r="D201" s="5" t="s">
        <v>305</v>
      </c>
      <c r="E201" s="5" t="s">
        <v>10</v>
      </c>
      <c r="F201" s="5" t="s">
        <v>306</v>
      </c>
      <c r="G201" s="5" t="s">
        <v>307</v>
      </c>
      <c r="H201" s="5">
        <v>3190</v>
      </c>
      <c r="I201" s="5" t="str">
        <f t="shared" si="9"/>
        <v>ONLINE</v>
      </c>
      <c r="J201" s="5" t="str">
        <f t="shared" si="10"/>
        <v>Sale</v>
      </c>
      <c r="K201" s="5">
        <f t="shared" si="11"/>
        <v>3190</v>
      </c>
    </row>
    <row r="202" spans="1:11">
      <c r="A202" s="6">
        <v>46047</v>
      </c>
      <c r="B202" s="7">
        <v>0.93450231481481483</v>
      </c>
      <c r="C202" s="5" t="s">
        <v>11</v>
      </c>
      <c r="D202" s="5" t="s">
        <v>308</v>
      </c>
      <c r="E202" s="5" t="s">
        <v>13</v>
      </c>
      <c r="H202" s="5">
        <v>440</v>
      </c>
      <c r="I202" s="5" t="str">
        <f t="shared" si="9"/>
        <v>OFFLINE</v>
      </c>
      <c r="J202" s="5" t="str">
        <f t="shared" si="10"/>
        <v>Sale</v>
      </c>
      <c r="K202" s="5">
        <f t="shared" si="11"/>
        <v>440</v>
      </c>
    </row>
    <row r="203" spans="1:11">
      <c r="A203" s="6">
        <v>46047</v>
      </c>
      <c r="B203" s="7">
        <v>0.93422453703703701</v>
      </c>
      <c r="C203" s="5" t="s">
        <v>14</v>
      </c>
      <c r="D203" s="5" t="s">
        <v>309</v>
      </c>
      <c r="E203" s="5" t="s">
        <v>16</v>
      </c>
      <c r="H203" s="5">
        <v>760</v>
      </c>
      <c r="I203" s="5" t="str">
        <f t="shared" si="9"/>
        <v>OFFLINE</v>
      </c>
      <c r="J203" s="5" t="str">
        <f t="shared" si="10"/>
        <v>Sale</v>
      </c>
      <c r="K203" s="5">
        <f t="shared" si="11"/>
        <v>760</v>
      </c>
    </row>
    <row r="204" spans="1:11">
      <c r="A204" s="6">
        <v>46047</v>
      </c>
      <c r="B204" s="7">
        <v>0.9339467592592593</v>
      </c>
      <c r="C204" s="5" t="s">
        <v>8</v>
      </c>
      <c r="D204" s="5" t="s">
        <v>310</v>
      </c>
      <c r="E204" s="5" t="s">
        <v>10</v>
      </c>
      <c r="H204" s="5">
        <v>210</v>
      </c>
      <c r="I204" s="5" t="str">
        <f t="shared" si="9"/>
        <v>OFFLINE</v>
      </c>
      <c r="J204" s="5" t="str">
        <f t="shared" si="10"/>
        <v>Sale</v>
      </c>
      <c r="K204" s="5">
        <f t="shared" si="11"/>
        <v>210</v>
      </c>
    </row>
    <row r="205" spans="1:11">
      <c r="A205" s="6">
        <v>46047</v>
      </c>
      <c r="B205" s="7">
        <v>0.93365740740740744</v>
      </c>
      <c r="C205" s="5" t="s">
        <v>11</v>
      </c>
      <c r="D205" s="5" t="s">
        <v>311</v>
      </c>
      <c r="E205" s="5" t="s">
        <v>13</v>
      </c>
      <c r="F205" s="5" t="s">
        <v>312</v>
      </c>
      <c r="G205" s="5" t="s">
        <v>313</v>
      </c>
      <c r="H205" s="5">
        <v>1850</v>
      </c>
      <c r="I205" s="5" t="str">
        <f t="shared" si="9"/>
        <v>ONLINE</v>
      </c>
      <c r="J205" s="5" t="str">
        <f t="shared" si="10"/>
        <v>Sale</v>
      </c>
      <c r="K205" s="5">
        <f t="shared" si="11"/>
        <v>1850</v>
      </c>
    </row>
    <row r="206" spans="1:11">
      <c r="A206" s="6">
        <v>46047</v>
      </c>
      <c r="B206" s="7">
        <v>0.93335648148148154</v>
      </c>
      <c r="C206" s="5" t="s">
        <v>14</v>
      </c>
      <c r="D206" s="5" t="s">
        <v>314</v>
      </c>
      <c r="E206" s="5" t="s">
        <v>16</v>
      </c>
      <c r="H206" s="5">
        <v>560</v>
      </c>
      <c r="I206" s="5" t="str">
        <f t="shared" si="9"/>
        <v>OFFLINE</v>
      </c>
      <c r="J206" s="5" t="str">
        <f t="shared" si="10"/>
        <v>Sale</v>
      </c>
      <c r="K206" s="5">
        <f t="shared" si="11"/>
        <v>560</v>
      </c>
    </row>
    <row r="207" spans="1:11">
      <c r="A207" s="6">
        <v>46047</v>
      </c>
      <c r="B207" s="7">
        <v>0.93305555555555553</v>
      </c>
      <c r="C207" s="5" t="s">
        <v>8</v>
      </c>
      <c r="D207" s="5" t="s">
        <v>315</v>
      </c>
      <c r="E207" s="5" t="s">
        <v>10</v>
      </c>
      <c r="H207" s="5">
        <v>980</v>
      </c>
      <c r="I207" s="5" t="str">
        <f t="shared" si="9"/>
        <v>OFFLINE</v>
      </c>
      <c r="J207" s="5" t="str">
        <f t="shared" si="10"/>
        <v>Sale</v>
      </c>
      <c r="K207" s="5">
        <f t="shared" si="11"/>
        <v>980</v>
      </c>
    </row>
    <row r="208" spans="1:11">
      <c r="A208" s="6">
        <v>46047</v>
      </c>
      <c r="B208" s="7">
        <v>0.93274305555555559</v>
      </c>
      <c r="C208" s="5" t="s">
        <v>11</v>
      </c>
      <c r="D208" s="5" t="s">
        <v>316</v>
      </c>
      <c r="E208" s="5" t="s">
        <v>13</v>
      </c>
      <c r="H208" s="5">
        <v>-240</v>
      </c>
      <c r="I208" s="5" t="str">
        <f t="shared" si="9"/>
        <v>OFFLINE</v>
      </c>
      <c r="J208" s="5" t="str">
        <f t="shared" si="10"/>
        <v>Return</v>
      </c>
      <c r="K208" s="5">
        <f t="shared" si="11"/>
        <v>240</v>
      </c>
    </row>
    <row r="209" spans="1:11">
      <c r="A209" s="6">
        <v>46047</v>
      </c>
      <c r="B209" s="7">
        <v>0.9324189814814815</v>
      </c>
      <c r="C209" s="5" t="s">
        <v>14</v>
      </c>
      <c r="D209" s="5" t="s">
        <v>317</v>
      </c>
      <c r="E209" s="5" t="s">
        <v>16</v>
      </c>
      <c r="F209" s="5" t="s">
        <v>318</v>
      </c>
      <c r="G209" s="5" t="s">
        <v>319</v>
      </c>
      <c r="H209" s="5">
        <v>2640</v>
      </c>
      <c r="I209" s="5" t="str">
        <f t="shared" si="9"/>
        <v>ONLINE</v>
      </c>
      <c r="J209" s="5" t="str">
        <f t="shared" si="10"/>
        <v>Sale</v>
      </c>
      <c r="K209" s="5">
        <f t="shared" si="11"/>
        <v>2640</v>
      </c>
    </row>
    <row r="210" spans="1:11">
      <c r="A210" s="6">
        <v>46047</v>
      </c>
      <c r="B210" s="7">
        <v>0.93208333333333337</v>
      </c>
      <c r="C210" s="5" t="s">
        <v>8</v>
      </c>
      <c r="D210" s="5" t="s">
        <v>320</v>
      </c>
      <c r="E210" s="5" t="s">
        <v>10</v>
      </c>
      <c r="H210" s="5">
        <v>350</v>
      </c>
      <c r="I210" s="5" t="str">
        <f t="shared" si="9"/>
        <v>OFFLINE</v>
      </c>
      <c r="J210" s="5" t="str">
        <f t="shared" si="10"/>
        <v>Sale</v>
      </c>
      <c r="K210" s="5">
        <f t="shared" si="11"/>
        <v>350</v>
      </c>
    </row>
    <row r="211" spans="1:11">
      <c r="A211" s="6">
        <v>46047</v>
      </c>
      <c r="B211" s="7">
        <v>0.93177083333333333</v>
      </c>
      <c r="C211" s="5" t="s">
        <v>11</v>
      </c>
      <c r="D211" s="5" t="s">
        <v>321</v>
      </c>
      <c r="E211" s="5" t="s">
        <v>13</v>
      </c>
      <c r="H211" s="5">
        <v>720</v>
      </c>
      <c r="I211" s="5" t="str">
        <f t="shared" si="9"/>
        <v>OFFLINE</v>
      </c>
      <c r="J211" s="5" t="str">
        <f t="shared" si="10"/>
        <v>Sale</v>
      </c>
      <c r="K211" s="5">
        <f t="shared" si="11"/>
        <v>720</v>
      </c>
    </row>
    <row r="212" spans="1:11">
      <c r="A212" s="6">
        <v>46047</v>
      </c>
      <c r="B212" s="7">
        <v>0.93145833333333339</v>
      </c>
      <c r="C212" s="5" t="s">
        <v>14</v>
      </c>
      <c r="D212" s="5" t="s">
        <v>322</v>
      </c>
      <c r="E212" s="5" t="s">
        <v>16</v>
      </c>
      <c r="H212" s="5">
        <v>430</v>
      </c>
      <c r="I212" s="5" t="str">
        <f t="shared" si="9"/>
        <v>OFFLINE</v>
      </c>
      <c r="J212" s="5" t="str">
        <f t="shared" si="10"/>
        <v>Sale</v>
      </c>
      <c r="K212" s="5">
        <f t="shared" si="11"/>
        <v>430</v>
      </c>
    </row>
    <row r="213" spans="1:11">
      <c r="A213" s="6">
        <v>46047</v>
      </c>
      <c r="B213" s="7">
        <v>0.93115740740740738</v>
      </c>
      <c r="C213" s="5" t="s">
        <v>8</v>
      </c>
      <c r="D213" s="5" t="s">
        <v>323</v>
      </c>
      <c r="E213" s="5" t="s">
        <v>10</v>
      </c>
      <c r="F213" s="5" t="s">
        <v>324</v>
      </c>
      <c r="G213" s="5" t="s">
        <v>325</v>
      </c>
      <c r="H213" s="5">
        <v>2290</v>
      </c>
      <c r="I213" s="5" t="str">
        <f t="shared" si="9"/>
        <v>ONLINE</v>
      </c>
      <c r="J213" s="5" t="str">
        <f t="shared" si="10"/>
        <v>Sale</v>
      </c>
      <c r="K213" s="5">
        <f t="shared" si="11"/>
        <v>2290</v>
      </c>
    </row>
    <row r="214" spans="1:11">
      <c r="A214" s="6">
        <v>46047</v>
      </c>
      <c r="B214" s="7">
        <v>0.93085648148148148</v>
      </c>
      <c r="C214" s="5" t="s">
        <v>11</v>
      </c>
      <c r="D214" s="5" t="s">
        <v>326</v>
      </c>
      <c r="E214" s="5" t="s">
        <v>13</v>
      </c>
      <c r="H214" s="5">
        <v>180</v>
      </c>
      <c r="I214" s="5" t="str">
        <f t="shared" si="9"/>
        <v>OFFLINE</v>
      </c>
      <c r="J214" s="5" t="str">
        <f t="shared" si="10"/>
        <v>Sale</v>
      </c>
      <c r="K214" s="5">
        <f t="shared" si="11"/>
        <v>180</v>
      </c>
    </row>
    <row r="215" spans="1:11">
      <c r="A215" s="6">
        <v>46047</v>
      </c>
      <c r="B215" s="7">
        <v>0.93054398148148143</v>
      </c>
      <c r="C215" s="5" t="s">
        <v>14</v>
      </c>
      <c r="D215" s="5" t="s">
        <v>327</v>
      </c>
      <c r="E215" s="5" t="s">
        <v>16</v>
      </c>
      <c r="H215" s="5">
        <v>860</v>
      </c>
      <c r="I215" s="5" t="str">
        <f t="shared" si="9"/>
        <v>OFFLINE</v>
      </c>
      <c r="J215" s="5" t="str">
        <f t="shared" si="10"/>
        <v>Sale</v>
      </c>
      <c r="K215" s="5">
        <f t="shared" si="11"/>
        <v>860</v>
      </c>
    </row>
    <row r="216" spans="1:11">
      <c r="A216" s="6">
        <v>46047</v>
      </c>
      <c r="B216" s="7">
        <v>0.93023148148148149</v>
      </c>
      <c r="C216" s="5" t="s">
        <v>8</v>
      </c>
      <c r="D216" s="5" t="s">
        <v>328</v>
      </c>
      <c r="E216" s="5" t="s">
        <v>10</v>
      </c>
      <c r="H216" s="5">
        <v>540</v>
      </c>
      <c r="I216" s="5" t="str">
        <f t="shared" si="9"/>
        <v>OFFLINE</v>
      </c>
      <c r="J216" s="5" t="str">
        <f t="shared" si="10"/>
        <v>Sale</v>
      </c>
      <c r="K216" s="5">
        <f t="shared" si="11"/>
        <v>540</v>
      </c>
    </row>
    <row r="217" spans="1:11">
      <c r="A217" s="6">
        <v>46047</v>
      </c>
      <c r="B217" s="7">
        <v>0.92991898148148144</v>
      </c>
      <c r="C217" s="5" t="s">
        <v>11</v>
      </c>
      <c r="D217" s="5" t="s">
        <v>329</v>
      </c>
      <c r="E217" s="5" t="s">
        <v>13</v>
      </c>
      <c r="F217" s="5" t="s">
        <v>330</v>
      </c>
      <c r="G217" s="5" t="s">
        <v>331</v>
      </c>
      <c r="H217" s="5">
        <v>3120</v>
      </c>
      <c r="I217" s="5" t="str">
        <f t="shared" si="9"/>
        <v>ONLINE</v>
      </c>
      <c r="J217" s="5" t="str">
        <f t="shared" si="10"/>
        <v>Sale</v>
      </c>
      <c r="K217" s="5">
        <f t="shared" si="11"/>
        <v>3120</v>
      </c>
    </row>
    <row r="218" spans="1:11">
      <c r="A218" s="6">
        <v>46047</v>
      </c>
      <c r="B218" s="7">
        <v>0.92959490740740736</v>
      </c>
      <c r="C218" s="5" t="s">
        <v>14</v>
      </c>
      <c r="D218" s="5" t="s">
        <v>332</v>
      </c>
      <c r="E218" s="5" t="s">
        <v>16</v>
      </c>
      <c r="H218" s="5">
        <v>260</v>
      </c>
      <c r="I218" s="5" t="str">
        <f t="shared" si="9"/>
        <v>OFFLINE</v>
      </c>
      <c r="J218" s="5" t="str">
        <f t="shared" si="10"/>
        <v>Sale</v>
      </c>
      <c r="K218" s="5">
        <f t="shared" si="11"/>
        <v>260</v>
      </c>
    </row>
    <row r="219" spans="1:11">
      <c r="A219" s="6">
        <v>46047</v>
      </c>
      <c r="B219" s="7">
        <v>0.92927083333333338</v>
      </c>
      <c r="C219" s="5" t="s">
        <v>8</v>
      </c>
      <c r="D219" s="5" t="s">
        <v>333</v>
      </c>
      <c r="E219" s="5" t="s">
        <v>10</v>
      </c>
      <c r="H219" s="5">
        <v>910</v>
      </c>
      <c r="I219" s="5" t="str">
        <f t="shared" si="9"/>
        <v>OFFLINE</v>
      </c>
      <c r="J219" s="5" t="str">
        <f t="shared" si="10"/>
        <v>Sale</v>
      </c>
      <c r="K219" s="5">
        <f t="shared" si="11"/>
        <v>910</v>
      </c>
    </row>
    <row r="220" spans="1:11">
      <c r="A220" s="6">
        <v>46047</v>
      </c>
      <c r="B220" s="7">
        <v>0.92895833333333333</v>
      </c>
      <c r="C220" s="5" t="s">
        <v>11</v>
      </c>
      <c r="D220" s="5" t="s">
        <v>334</v>
      </c>
      <c r="E220" s="5" t="s">
        <v>13</v>
      </c>
      <c r="H220" s="5">
        <v>-200</v>
      </c>
      <c r="I220" s="5" t="str">
        <f t="shared" si="9"/>
        <v>OFFLINE</v>
      </c>
      <c r="J220" s="5" t="str">
        <f t="shared" si="10"/>
        <v>Return</v>
      </c>
      <c r="K220" s="5">
        <f t="shared" si="11"/>
        <v>200</v>
      </c>
    </row>
    <row r="221" spans="1:11">
      <c r="A221" s="6">
        <v>46047</v>
      </c>
      <c r="B221" s="7">
        <v>0.92863425925925924</v>
      </c>
      <c r="C221" s="5" t="s">
        <v>14</v>
      </c>
      <c r="D221" s="5" t="s">
        <v>335</v>
      </c>
      <c r="E221" s="5" t="s">
        <v>16</v>
      </c>
      <c r="F221" s="5" t="s">
        <v>336</v>
      </c>
      <c r="G221" s="5" t="s">
        <v>337</v>
      </c>
      <c r="H221" s="5">
        <v>1980</v>
      </c>
      <c r="I221" s="5" t="str">
        <f t="shared" si="9"/>
        <v>ONLINE</v>
      </c>
      <c r="J221" s="5" t="str">
        <f t="shared" si="10"/>
        <v>Sale</v>
      </c>
      <c r="K221" s="5">
        <f t="shared" si="11"/>
        <v>1980</v>
      </c>
    </row>
    <row r="222" spans="1:11">
      <c r="A222" s="6">
        <v>46047</v>
      </c>
      <c r="B222" s="7">
        <v>0.92831018518518515</v>
      </c>
      <c r="C222" s="5" t="s">
        <v>8</v>
      </c>
      <c r="D222" s="5" t="s">
        <v>338</v>
      </c>
      <c r="E222" s="5" t="s">
        <v>10</v>
      </c>
      <c r="H222" s="5">
        <v>370</v>
      </c>
      <c r="I222" s="5" t="str">
        <f t="shared" si="9"/>
        <v>OFFLINE</v>
      </c>
      <c r="J222" s="5" t="str">
        <f t="shared" si="10"/>
        <v>Sale</v>
      </c>
      <c r="K222" s="5">
        <f t="shared" si="11"/>
        <v>370</v>
      </c>
    </row>
    <row r="223" spans="1:11">
      <c r="A223" s="6">
        <v>46047</v>
      </c>
      <c r="B223" s="7">
        <v>0.92798611111111107</v>
      </c>
      <c r="C223" s="5" t="s">
        <v>11</v>
      </c>
      <c r="D223" s="5" t="s">
        <v>339</v>
      </c>
      <c r="E223" s="5" t="s">
        <v>13</v>
      </c>
      <c r="H223" s="5">
        <v>640</v>
      </c>
      <c r="I223" s="5" t="str">
        <f t="shared" si="9"/>
        <v>OFFLINE</v>
      </c>
      <c r="J223" s="5" t="str">
        <f t="shared" si="10"/>
        <v>Sale</v>
      </c>
      <c r="K223" s="5">
        <f t="shared" si="11"/>
        <v>640</v>
      </c>
    </row>
    <row r="224" spans="1:11">
      <c r="A224" s="6">
        <v>46047</v>
      </c>
      <c r="B224" s="7">
        <v>0.92765046296296294</v>
      </c>
      <c r="C224" s="5" t="s">
        <v>14</v>
      </c>
      <c r="D224" s="5" t="s">
        <v>340</v>
      </c>
      <c r="E224" s="5" t="s">
        <v>16</v>
      </c>
      <c r="H224" s="5">
        <v>520</v>
      </c>
      <c r="I224" s="5" t="str">
        <f t="shared" si="9"/>
        <v>OFFLINE</v>
      </c>
      <c r="J224" s="5" t="str">
        <f t="shared" si="10"/>
        <v>Sale</v>
      </c>
      <c r="K224" s="5">
        <f t="shared" si="11"/>
        <v>520</v>
      </c>
    </row>
    <row r="225" spans="1:11">
      <c r="A225" s="6">
        <v>46047</v>
      </c>
      <c r="B225" s="7">
        <v>0.92732638888888885</v>
      </c>
      <c r="C225" s="5" t="s">
        <v>8</v>
      </c>
      <c r="D225" s="5" t="s">
        <v>341</v>
      </c>
      <c r="E225" s="5" t="s">
        <v>10</v>
      </c>
      <c r="F225" s="5" t="s">
        <v>342</v>
      </c>
      <c r="G225" s="5" t="s">
        <v>343</v>
      </c>
      <c r="H225" s="5">
        <v>2750</v>
      </c>
      <c r="I225" s="5" t="str">
        <f t="shared" si="9"/>
        <v>ONLINE</v>
      </c>
      <c r="J225" s="5" t="str">
        <f t="shared" si="10"/>
        <v>Sale</v>
      </c>
      <c r="K225" s="5">
        <f t="shared" si="11"/>
        <v>2750</v>
      </c>
    </row>
    <row r="226" spans="1:11">
      <c r="A226" s="6">
        <v>46047</v>
      </c>
      <c r="B226" s="7">
        <v>0.92700231481481477</v>
      </c>
      <c r="C226" s="5" t="s">
        <v>11</v>
      </c>
      <c r="D226" s="5" t="s">
        <v>344</v>
      </c>
      <c r="E226" s="5" t="s">
        <v>13</v>
      </c>
      <c r="H226" s="5">
        <v>230</v>
      </c>
      <c r="I226" s="5" t="str">
        <f t="shared" si="9"/>
        <v>OFFLINE</v>
      </c>
      <c r="J226" s="5" t="str">
        <f t="shared" si="10"/>
        <v>Sale</v>
      </c>
      <c r="K226" s="5">
        <f t="shared" si="11"/>
        <v>230</v>
      </c>
    </row>
    <row r="227" spans="1:11">
      <c r="A227" s="6">
        <v>46047</v>
      </c>
      <c r="B227" s="7">
        <v>0.92666666666666664</v>
      </c>
      <c r="C227" s="5" t="s">
        <v>14</v>
      </c>
      <c r="D227" s="5" t="s">
        <v>345</v>
      </c>
      <c r="E227" s="5" t="s">
        <v>16</v>
      </c>
      <c r="H227" s="5">
        <v>780</v>
      </c>
      <c r="I227" s="5" t="str">
        <f t="shared" si="9"/>
        <v>OFFLINE</v>
      </c>
      <c r="J227" s="5" t="str">
        <f t="shared" si="10"/>
        <v>Sale</v>
      </c>
      <c r="K227" s="5">
        <f t="shared" si="11"/>
        <v>780</v>
      </c>
    </row>
    <row r="228" spans="1:11">
      <c r="A228" s="6">
        <v>46047</v>
      </c>
      <c r="B228" s="7">
        <v>0.92634259259259255</v>
      </c>
      <c r="C228" s="5" t="s">
        <v>8</v>
      </c>
      <c r="D228" s="5" t="s">
        <v>346</v>
      </c>
      <c r="E228" s="5" t="s">
        <v>10</v>
      </c>
      <c r="H228" s="5">
        <v>410</v>
      </c>
      <c r="I228" s="5" t="str">
        <f t="shared" si="9"/>
        <v>OFFLINE</v>
      </c>
      <c r="J228" s="5" t="str">
        <f t="shared" si="10"/>
        <v>Sale</v>
      </c>
      <c r="K228" s="5">
        <f t="shared" si="11"/>
        <v>410</v>
      </c>
    </row>
    <row r="229" spans="1:11">
      <c r="A229" s="6">
        <v>46047</v>
      </c>
      <c r="B229" s="7">
        <v>0.92600694444444442</v>
      </c>
      <c r="C229" s="5" t="s">
        <v>11</v>
      </c>
      <c r="D229" s="5" t="s">
        <v>347</v>
      </c>
      <c r="E229" s="5" t="s">
        <v>13</v>
      </c>
      <c r="F229" s="5" t="s">
        <v>348</v>
      </c>
      <c r="G229" s="5" t="s">
        <v>349</v>
      </c>
      <c r="H229" s="5">
        <v>3410</v>
      </c>
      <c r="I229" s="5" t="str">
        <f t="shared" si="9"/>
        <v>ONLINE</v>
      </c>
      <c r="J229" s="5" t="str">
        <f t="shared" si="10"/>
        <v>Sale</v>
      </c>
      <c r="K229" s="5">
        <f t="shared" si="11"/>
        <v>3410</v>
      </c>
    </row>
    <row r="230" spans="1:11">
      <c r="A230" s="6">
        <v>46047</v>
      </c>
      <c r="B230" s="7">
        <v>0.92568287037037034</v>
      </c>
      <c r="C230" s="5" t="s">
        <v>14</v>
      </c>
      <c r="D230" s="5" t="s">
        <v>350</v>
      </c>
      <c r="E230" s="5" t="s">
        <v>16</v>
      </c>
      <c r="H230" s="5">
        <v>290</v>
      </c>
      <c r="I230" s="5" t="str">
        <f t="shared" si="9"/>
        <v>OFFLINE</v>
      </c>
      <c r="J230" s="5" t="str">
        <f t="shared" si="10"/>
        <v>Sale</v>
      </c>
      <c r="K230" s="5">
        <f t="shared" si="11"/>
        <v>290</v>
      </c>
    </row>
    <row r="231" spans="1:11">
      <c r="A231" s="6">
        <v>46047</v>
      </c>
      <c r="B231" s="7">
        <v>0.92534722222222221</v>
      </c>
      <c r="C231" s="5" t="s">
        <v>8</v>
      </c>
      <c r="D231" s="5" t="s">
        <v>351</v>
      </c>
      <c r="E231" s="5" t="s">
        <v>10</v>
      </c>
      <c r="H231" s="5">
        <v>650</v>
      </c>
      <c r="I231" s="5" t="str">
        <f t="shared" si="9"/>
        <v>OFFLINE</v>
      </c>
      <c r="J231" s="5" t="str">
        <f t="shared" si="10"/>
        <v>Sale</v>
      </c>
      <c r="K231" s="5">
        <f t="shared" si="11"/>
        <v>650</v>
      </c>
    </row>
    <row r="232" spans="1:11">
      <c r="A232" s="6">
        <v>46047</v>
      </c>
      <c r="B232" s="7">
        <v>0.92501157407407408</v>
      </c>
      <c r="C232" s="5" t="s">
        <v>11</v>
      </c>
      <c r="D232" s="5" t="s">
        <v>352</v>
      </c>
      <c r="E232" s="5" t="s">
        <v>13</v>
      </c>
      <c r="H232" s="5">
        <v>-180</v>
      </c>
      <c r="I232" s="5" t="str">
        <f t="shared" si="9"/>
        <v>OFFLINE</v>
      </c>
      <c r="J232" s="5" t="str">
        <f t="shared" si="10"/>
        <v>Return</v>
      </c>
      <c r="K232" s="5">
        <f t="shared" si="11"/>
        <v>180</v>
      </c>
    </row>
    <row r="233" spans="1:11">
      <c r="A233" s="6">
        <v>46047</v>
      </c>
      <c r="B233" s="7">
        <v>0.9246875</v>
      </c>
      <c r="C233" s="5" t="s">
        <v>14</v>
      </c>
      <c r="D233" s="5" t="s">
        <v>353</v>
      </c>
      <c r="E233" s="5" t="s">
        <v>16</v>
      </c>
      <c r="F233" s="5" t="s">
        <v>354</v>
      </c>
      <c r="G233" s="5" t="s">
        <v>355</v>
      </c>
      <c r="H233" s="5">
        <v>2210</v>
      </c>
      <c r="I233" s="5" t="str">
        <f t="shared" si="9"/>
        <v>ONLINE</v>
      </c>
      <c r="J233" s="5" t="str">
        <f t="shared" si="10"/>
        <v>Sale</v>
      </c>
      <c r="K233" s="5">
        <f t="shared" si="11"/>
        <v>2210</v>
      </c>
    </row>
    <row r="234" spans="1:11">
      <c r="A234" s="6">
        <v>46047</v>
      </c>
      <c r="B234" s="7">
        <v>0.92435185185185187</v>
      </c>
      <c r="C234" s="5" t="s">
        <v>8</v>
      </c>
      <c r="D234" s="5" t="s">
        <v>356</v>
      </c>
      <c r="E234" s="5" t="s">
        <v>10</v>
      </c>
      <c r="H234" s="5">
        <v>360</v>
      </c>
      <c r="I234" s="5" t="str">
        <f t="shared" si="9"/>
        <v>OFFLINE</v>
      </c>
      <c r="J234" s="5" t="str">
        <f t="shared" si="10"/>
        <v>Sale</v>
      </c>
      <c r="K234" s="5">
        <f t="shared" si="11"/>
        <v>360</v>
      </c>
    </row>
    <row r="235" spans="1:11">
      <c r="A235" s="6">
        <v>46047</v>
      </c>
      <c r="B235" s="7">
        <v>0.92402777777777778</v>
      </c>
      <c r="C235" s="5" t="s">
        <v>11</v>
      </c>
      <c r="D235" s="5" t="s">
        <v>357</v>
      </c>
      <c r="E235" s="5" t="s">
        <v>13</v>
      </c>
      <c r="H235" s="5">
        <v>890</v>
      </c>
      <c r="I235" s="5" t="str">
        <f t="shared" si="9"/>
        <v>OFFLINE</v>
      </c>
      <c r="J235" s="5" t="str">
        <f t="shared" si="10"/>
        <v>Sale</v>
      </c>
      <c r="K235" s="5">
        <f t="shared" si="11"/>
        <v>890</v>
      </c>
    </row>
    <row r="236" spans="1:11">
      <c r="A236" s="6">
        <v>46047</v>
      </c>
      <c r="B236" s="7">
        <v>0.92369212962962965</v>
      </c>
      <c r="C236" s="5" t="s">
        <v>14</v>
      </c>
      <c r="D236" s="5" t="s">
        <v>358</v>
      </c>
      <c r="E236" s="5" t="s">
        <v>16</v>
      </c>
      <c r="H236" s="5">
        <v>470</v>
      </c>
      <c r="I236" s="5" t="str">
        <f t="shared" si="9"/>
        <v>OFFLINE</v>
      </c>
      <c r="J236" s="5" t="str">
        <f t="shared" si="10"/>
        <v>Sale</v>
      </c>
      <c r="K236" s="5">
        <f t="shared" si="11"/>
        <v>470</v>
      </c>
    </row>
    <row r="237" spans="1:11">
      <c r="A237" s="6">
        <v>46047</v>
      </c>
      <c r="B237" s="7">
        <v>0.92336805555555557</v>
      </c>
      <c r="C237" s="5" t="s">
        <v>8</v>
      </c>
      <c r="D237" s="5" t="s">
        <v>359</v>
      </c>
      <c r="E237" s="5" t="s">
        <v>10</v>
      </c>
      <c r="F237" s="5" t="s">
        <v>360</v>
      </c>
      <c r="G237" s="5" t="s">
        <v>361</v>
      </c>
      <c r="H237" s="5">
        <v>2580</v>
      </c>
      <c r="I237" s="5" t="str">
        <f t="shared" si="9"/>
        <v>ONLINE</v>
      </c>
      <c r="J237" s="5" t="str">
        <f t="shared" si="10"/>
        <v>Sale</v>
      </c>
      <c r="K237" s="5">
        <f t="shared" si="11"/>
        <v>2580</v>
      </c>
    </row>
    <row r="238" spans="1:11">
      <c r="A238" s="6">
        <v>46047</v>
      </c>
      <c r="B238" s="7">
        <v>0.92303240740740744</v>
      </c>
      <c r="C238" s="5" t="s">
        <v>11</v>
      </c>
      <c r="D238" s="5" t="s">
        <v>362</v>
      </c>
      <c r="E238" s="5" t="s">
        <v>13</v>
      </c>
      <c r="H238" s="5">
        <v>320</v>
      </c>
      <c r="I238" s="5" t="str">
        <f t="shared" si="9"/>
        <v>OFFLINE</v>
      </c>
      <c r="J238" s="5" t="str">
        <f t="shared" si="10"/>
        <v>Sale</v>
      </c>
      <c r="K238" s="5">
        <f t="shared" si="11"/>
        <v>320</v>
      </c>
    </row>
    <row r="239" spans="1:11">
      <c r="A239" s="6">
        <v>46047</v>
      </c>
      <c r="B239" s="7">
        <v>0.92270833333333335</v>
      </c>
      <c r="C239" s="5" t="s">
        <v>14</v>
      </c>
      <c r="D239" s="5" t="s">
        <v>363</v>
      </c>
      <c r="E239" s="5" t="s">
        <v>16</v>
      </c>
      <c r="H239" s="5">
        <v>740</v>
      </c>
      <c r="I239" s="5" t="str">
        <f t="shared" si="9"/>
        <v>OFFLINE</v>
      </c>
      <c r="J239" s="5" t="str">
        <f t="shared" si="10"/>
        <v>Sale</v>
      </c>
      <c r="K239" s="5">
        <f t="shared" si="11"/>
        <v>740</v>
      </c>
    </row>
    <row r="240" spans="1:11">
      <c r="A240" s="6">
        <v>46047</v>
      </c>
      <c r="B240" s="7">
        <v>0.922337962962963</v>
      </c>
      <c r="C240" s="5" t="s">
        <v>8</v>
      </c>
      <c r="D240" s="5" t="s">
        <v>364</v>
      </c>
      <c r="E240" s="5" t="s">
        <v>10</v>
      </c>
      <c r="H240" s="5">
        <v>420</v>
      </c>
      <c r="I240" s="5" t="str">
        <f t="shared" si="9"/>
        <v>OFFLINE</v>
      </c>
      <c r="J240" s="5" t="str">
        <f t="shared" si="10"/>
        <v>Sale</v>
      </c>
      <c r="K240" s="5">
        <f t="shared" si="11"/>
        <v>420</v>
      </c>
    </row>
    <row r="241" spans="1:11">
      <c r="A241" s="6">
        <v>46047</v>
      </c>
      <c r="B241" s="7">
        <v>0.92201388888888891</v>
      </c>
      <c r="C241" s="5" t="s">
        <v>11</v>
      </c>
      <c r="D241" s="5" t="s">
        <v>365</v>
      </c>
      <c r="E241" s="5" t="s">
        <v>13</v>
      </c>
      <c r="H241" s="5">
        <v>260</v>
      </c>
      <c r="I241" s="5" t="str">
        <f t="shared" si="9"/>
        <v>OFFLINE</v>
      </c>
      <c r="J241" s="5" t="str">
        <f t="shared" si="10"/>
        <v>Sale</v>
      </c>
      <c r="K241" s="5">
        <f t="shared" si="11"/>
        <v>260</v>
      </c>
    </row>
    <row r="242" spans="1:11">
      <c r="A242" s="6">
        <v>46047</v>
      </c>
      <c r="B242" s="7">
        <v>0.92170138888888886</v>
      </c>
      <c r="C242" s="5" t="s">
        <v>14</v>
      </c>
      <c r="D242" s="5" t="s">
        <v>366</v>
      </c>
      <c r="E242" s="5" t="s">
        <v>16</v>
      </c>
      <c r="F242" s="5" t="s">
        <v>367</v>
      </c>
      <c r="G242" s="5" t="s">
        <v>368</v>
      </c>
      <c r="H242" s="5">
        <v>1980</v>
      </c>
      <c r="I242" s="5" t="str">
        <f t="shared" si="9"/>
        <v>ONLINE</v>
      </c>
      <c r="J242" s="5" t="str">
        <f t="shared" si="10"/>
        <v>Sale</v>
      </c>
      <c r="K242" s="5">
        <f t="shared" si="11"/>
        <v>1980</v>
      </c>
    </row>
    <row r="243" spans="1:11">
      <c r="A243" s="6">
        <v>46047</v>
      </c>
      <c r="B243" s="7">
        <v>0.92138888888888892</v>
      </c>
      <c r="C243" s="5" t="s">
        <v>8</v>
      </c>
      <c r="D243" s="5" t="s">
        <v>369</v>
      </c>
      <c r="E243" s="5" t="s">
        <v>10</v>
      </c>
      <c r="H243" s="5">
        <v>150</v>
      </c>
      <c r="I243" s="5" t="str">
        <f t="shared" si="9"/>
        <v>OFFLINE</v>
      </c>
      <c r="J243" s="5" t="str">
        <f t="shared" si="10"/>
        <v>Sale</v>
      </c>
      <c r="K243" s="5">
        <f t="shared" si="11"/>
        <v>150</v>
      </c>
    </row>
    <row r="244" spans="1:11">
      <c r="A244" s="6">
        <v>46047</v>
      </c>
      <c r="B244" s="7">
        <v>0.92107638888888888</v>
      </c>
      <c r="C244" s="5" t="s">
        <v>11</v>
      </c>
      <c r="D244" s="5" t="s">
        <v>370</v>
      </c>
      <c r="E244" s="5" t="s">
        <v>13</v>
      </c>
      <c r="H244" s="5">
        <v>540</v>
      </c>
      <c r="I244" s="5" t="str">
        <f t="shared" si="9"/>
        <v>OFFLINE</v>
      </c>
      <c r="J244" s="5" t="str">
        <f t="shared" si="10"/>
        <v>Sale</v>
      </c>
      <c r="K244" s="5">
        <f t="shared" si="11"/>
        <v>540</v>
      </c>
    </row>
    <row r="245" spans="1:11">
      <c r="A245" s="6">
        <v>46047</v>
      </c>
      <c r="B245" s="7">
        <v>0.92075231481481479</v>
      </c>
      <c r="C245" s="5" t="s">
        <v>14</v>
      </c>
      <c r="D245" s="5" t="s">
        <v>371</v>
      </c>
      <c r="E245" s="5" t="s">
        <v>16</v>
      </c>
      <c r="H245" s="5">
        <v>880</v>
      </c>
      <c r="I245" s="5" t="str">
        <f t="shared" si="9"/>
        <v>OFFLINE</v>
      </c>
      <c r="J245" s="5" t="str">
        <f t="shared" si="10"/>
        <v>Sale</v>
      </c>
      <c r="K245" s="5">
        <f t="shared" si="11"/>
        <v>880</v>
      </c>
    </row>
    <row r="246" spans="1:11">
      <c r="A246" s="6">
        <v>46047</v>
      </c>
      <c r="B246" s="7">
        <v>0.92043981481481485</v>
      </c>
      <c r="C246" s="5" t="s">
        <v>8</v>
      </c>
      <c r="D246" s="5" t="s">
        <v>372</v>
      </c>
      <c r="E246" s="5" t="s">
        <v>10</v>
      </c>
      <c r="F246" s="5" t="s">
        <v>373</v>
      </c>
      <c r="G246" s="5" t="s">
        <v>374</v>
      </c>
      <c r="H246" s="5">
        <v>3120</v>
      </c>
      <c r="I246" s="5" t="str">
        <f t="shared" si="9"/>
        <v>ONLINE</v>
      </c>
      <c r="J246" s="5" t="str">
        <f t="shared" si="10"/>
        <v>Sale</v>
      </c>
      <c r="K246" s="5">
        <f t="shared" si="11"/>
        <v>3120</v>
      </c>
    </row>
    <row r="247" spans="1:11">
      <c r="A247" s="6">
        <v>46047</v>
      </c>
      <c r="B247" s="7">
        <v>0.92011574074074076</v>
      </c>
      <c r="C247" s="5" t="s">
        <v>11</v>
      </c>
      <c r="D247" s="5" t="s">
        <v>375</v>
      </c>
      <c r="E247" s="5" t="s">
        <v>13</v>
      </c>
      <c r="H247" s="5">
        <v>230</v>
      </c>
      <c r="I247" s="5" t="str">
        <f t="shared" si="9"/>
        <v>OFFLINE</v>
      </c>
      <c r="J247" s="5" t="str">
        <f t="shared" si="10"/>
        <v>Sale</v>
      </c>
      <c r="K247" s="5">
        <f t="shared" si="11"/>
        <v>230</v>
      </c>
    </row>
    <row r="248" spans="1:11">
      <c r="A248" s="6">
        <v>46047</v>
      </c>
      <c r="B248" s="7">
        <v>0.91980324074074071</v>
      </c>
      <c r="C248" s="5" t="s">
        <v>14</v>
      </c>
      <c r="D248" s="5" t="s">
        <v>376</v>
      </c>
      <c r="E248" s="5" t="s">
        <v>16</v>
      </c>
      <c r="H248" s="5">
        <v>760</v>
      </c>
      <c r="I248" s="5" t="str">
        <f t="shared" si="9"/>
        <v>OFFLINE</v>
      </c>
      <c r="J248" s="5" t="str">
        <f t="shared" si="10"/>
        <v>Sale</v>
      </c>
      <c r="K248" s="5">
        <f t="shared" si="11"/>
        <v>760</v>
      </c>
    </row>
    <row r="249" spans="1:11">
      <c r="A249" s="6">
        <v>46047</v>
      </c>
      <c r="B249" s="7">
        <v>0.91947916666666663</v>
      </c>
      <c r="C249" s="5" t="s">
        <v>8</v>
      </c>
      <c r="D249" s="5" t="s">
        <v>377</v>
      </c>
      <c r="E249" s="5" t="s">
        <v>10</v>
      </c>
      <c r="H249" s="5">
        <v>-190</v>
      </c>
      <c r="I249" s="5" t="str">
        <f t="shared" si="9"/>
        <v>OFFLINE</v>
      </c>
      <c r="J249" s="5" t="str">
        <f t="shared" si="10"/>
        <v>Return</v>
      </c>
      <c r="K249" s="5">
        <f t="shared" si="11"/>
        <v>190</v>
      </c>
    </row>
    <row r="250" spans="1:11">
      <c r="A250" s="6">
        <v>46047</v>
      </c>
      <c r="B250" s="7">
        <v>0.91915509259259254</v>
      </c>
      <c r="C250" s="5" t="s">
        <v>11</v>
      </c>
      <c r="D250" s="5" t="s">
        <v>378</v>
      </c>
      <c r="E250" s="5" t="s">
        <v>13</v>
      </c>
      <c r="H250" s="5">
        <v>410</v>
      </c>
      <c r="I250" s="5" t="str">
        <f t="shared" si="9"/>
        <v>OFFLINE</v>
      </c>
      <c r="J250" s="5" t="str">
        <f t="shared" si="10"/>
        <v>Sale</v>
      </c>
      <c r="K250" s="5">
        <f t="shared" si="11"/>
        <v>410</v>
      </c>
    </row>
    <row r="251" spans="1:11">
      <c r="A251" s="6">
        <v>46047</v>
      </c>
      <c r="B251" s="7">
        <v>0.91883101851851856</v>
      </c>
      <c r="C251" s="5" t="s">
        <v>14</v>
      </c>
      <c r="D251" s="5" t="s">
        <v>379</v>
      </c>
      <c r="E251" s="5" t="s">
        <v>16</v>
      </c>
      <c r="F251" s="5" t="s">
        <v>380</v>
      </c>
      <c r="G251" s="5" t="s">
        <v>381</v>
      </c>
      <c r="H251" s="5">
        <v>2450</v>
      </c>
      <c r="I251" s="5" t="str">
        <f t="shared" si="9"/>
        <v>ONLINE</v>
      </c>
      <c r="J251" s="5" t="str">
        <f t="shared" si="10"/>
        <v>Sale</v>
      </c>
      <c r="K251" s="5">
        <f t="shared" si="11"/>
        <v>2450</v>
      </c>
    </row>
    <row r="252" spans="1:11">
      <c r="A252" s="6">
        <v>46047</v>
      </c>
      <c r="B252" s="7">
        <v>0.91850694444444447</v>
      </c>
      <c r="C252" s="5" t="s">
        <v>8</v>
      </c>
      <c r="D252" s="5" t="s">
        <v>382</v>
      </c>
      <c r="E252" s="5" t="s">
        <v>10</v>
      </c>
      <c r="H252" s="5">
        <v>320</v>
      </c>
      <c r="I252" s="5" t="str">
        <f t="shared" si="9"/>
        <v>OFFLINE</v>
      </c>
      <c r="J252" s="5" t="str">
        <f t="shared" si="10"/>
        <v>Sale</v>
      </c>
      <c r="K252" s="5">
        <f t="shared" si="11"/>
        <v>320</v>
      </c>
    </row>
    <row r="253" spans="1:11">
      <c r="A253" s="6">
        <v>46047</v>
      </c>
      <c r="B253" s="7">
        <v>0.91818287037037039</v>
      </c>
      <c r="C253" s="5" t="s">
        <v>11</v>
      </c>
      <c r="D253" s="5" t="s">
        <v>383</v>
      </c>
      <c r="E253" s="5" t="s">
        <v>13</v>
      </c>
      <c r="H253" s="5">
        <v>690</v>
      </c>
      <c r="I253" s="5" t="str">
        <f t="shared" si="9"/>
        <v>OFFLINE</v>
      </c>
      <c r="J253" s="5" t="str">
        <f t="shared" si="10"/>
        <v>Sale</v>
      </c>
      <c r="K253" s="5">
        <f t="shared" si="11"/>
        <v>690</v>
      </c>
    </row>
    <row r="254" spans="1:11">
      <c r="A254" s="6">
        <v>46047</v>
      </c>
      <c r="B254" s="7">
        <v>0.9178587962962963</v>
      </c>
      <c r="C254" s="5" t="s">
        <v>14</v>
      </c>
      <c r="D254" s="5" t="s">
        <v>384</v>
      </c>
      <c r="E254" s="5" t="s">
        <v>16</v>
      </c>
      <c r="H254" s="5">
        <v>510</v>
      </c>
      <c r="I254" s="5" t="str">
        <f t="shared" si="9"/>
        <v>OFFLINE</v>
      </c>
      <c r="J254" s="5" t="str">
        <f t="shared" si="10"/>
        <v>Sale</v>
      </c>
      <c r="K254" s="5">
        <f t="shared" si="11"/>
        <v>510</v>
      </c>
    </row>
    <row r="255" spans="1:11">
      <c r="A255" s="6">
        <v>46047</v>
      </c>
      <c r="B255" s="7">
        <v>0.91752314814814817</v>
      </c>
      <c r="C255" s="5" t="s">
        <v>8</v>
      </c>
      <c r="D255" s="5" t="s">
        <v>385</v>
      </c>
      <c r="E255" s="5" t="s">
        <v>10</v>
      </c>
      <c r="F255" s="5" t="s">
        <v>386</v>
      </c>
      <c r="G255" s="5" t="s">
        <v>387</v>
      </c>
      <c r="H255" s="5">
        <v>1780</v>
      </c>
      <c r="I255" s="5" t="str">
        <f t="shared" si="9"/>
        <v>ONLINE</v>
      </c>
      <c r="J255" s="5" t="str">
        <f t="shared" si="10"/>
        <v>Sale</v>
      </c>
      <c r="K255" s="5">
        <f t="shared" si="11"/>
        <v>1780</v>
      </c>
    </row>
    <row r="256" spans="1:11">
      <c r="A256" s="6">
        <v>46047</v>
      </c>
      <c r="B256" s="7">
        <v>0.91719907407407408</v>
      </c>
      <c r="C256" s="5" t="s">
        <v>11</v>
      </c>
      <c r="D256" s="5" t="s">
        <v>388</v>
      </c>
      <c r="E256" s="5" t="s">
        <v>13</v>
      </c>
      <c r="H256" s="5">
        <v>260</v>
      </c>
      <c r="I256" s="5" t="str">
        <f t="shared" si="9"/>
        <v>OFFLINE</v>
      </c>
      <c r="J256" s="5" t="str">
        <f t="shared" si="10"/>
        <v>Sale</v>
      </c>
      <c r="K256" s="5">
        <f t="shared" si="11"/>
        <v>260</v>
      </c>
    </row>
    <row r="257" spans="1:11">
      <c r="A257" s="6">
        <v>46047</v>
      </c>
      <c r="B257" s="7">
        <v>0.916875</v>
      </c>
      <c r="C257" s="5" t="s">
        <v>14</v>
      </c>
      <c r="D257" s="5" t="s">
        <v>389</v>
      </c>
      <c r="E257" s="5" t="s">
        <v>16</v>
      </c>
      <c r="H257" s="5">
        <v>940</v>
      </c>
      <c r="I257" s="5" t="str">
        <f t="shared" si="9"/>
        <v>OFFLINE</v>
      </c>
      <c r="J257" s="5" t="str">
        <f t="shared" si="10"/>
        <v>Sale</v>
      </c>
      <c r="K257" s="5">
        <f t="shared" si="11"/>
        <v>940</v>
      </c>
    </row>
    <row r="258" spans="1:11">
      <c r="A258" s="6">
        <v>46047</v>
      </c>
      <c r="B258" s="7">
        <v>0.91653935185185187</v>
      </c>
      <c r="C258" s="5" t="s">
        <v>8</v>
      </c>
      <c r="D258" s="5" t="s">
        <v>390</v>
      </c>
      <c r="E258" s="5" t="s">
        <v>10</v>
      </c>
      <c r="H258" s="5">
        <v>380</v>
      </c>
      <c r="I258" s="5" t="str">
        <f t="shared" ref="I258:I321" si="12">IF(F258="","OFFLINE","ONLINE")</f>
        <v>OFFLINE</v>
      </c>
      <c r="J258" s="5" t="str">
        <f t="shared" ref="J258:J321" si="13">IF(H258 &lt; 0, "Return", "Sale")</f>
        <v>Sale</v>
      </c>
      <c r="K258" s="5">
        <f t="shared" ref="K258:K321" si="14">ABS(H258)</f>
        <v>380</v>
      </c>
    </row>
    <row r="259" spans="1:11">
      <c r="A259" s="6">
        <v>46047</v>
      </c>
      <c r="B259" s="7">
        <v>0.91620370370370374</v>
      </c>
      <c r="C259" s="5" t="s">
        <v>11</v>
      </c>
      <c r="D259" s="5" t="s">
        <v>391</v>
      </c>
      <c r="E259" s="5" t="s">
        <v>13</v>
      </c>
      <c r="F259" s="5" t="s">
        <v>392</v>
      </c>
      <c r="G259" s="5" t="s">
        <v>393</v>
      </c>
      <c r="H259" s="5">
        <v>2890</v>
      </c>
      <c r="I259" s="5" t="str">
        <f t="shared" si="12"/>
        <v>ONLINE</v>
      </c>
      <c r="J259" s="5" t="str">
        <f t="shared" si="13"/>
        <v>Sale</v>
      </c>
      <c r="K259" s="5">
        <f t="shared" si="14"/>
        <v>2890</v>
      </c>
    </row>
    <row r="260" spans="1:11">
      <c r="A260" s="6">
        <v>46047</v>
      </c>
      <c r="B260" s="7">
        <v>0.91587962962962965</v>
      </c>
      <c r="C260" s="5" t="s">
        <v>14</v>
      </c>
      <c r="D260" s="5" t="s">
        <v>394</v>
      </c>
      <c r="E260" s="5" t="s">
        <v>16</v>
      </c>
      <c r="H260" s="5">
        <v>570</v>
      </c>
      <c r="I260" s="5" t="str">
        <f t="shared" si="12"/>
        <v>OFFLINE</v>
      </c>
      <c r="J260" s="5" t="str">
        <f t="shared" si="13"/>
        <v>Sale</v>
      </c>
      <c r="K260" s="5">
        <f t="shared" si="14"/>
        <v>570</v>
      </c>
    </row>
    <row r="261" spans="1:11">
      <c r="A261" s="6">
        <v>46047</v>
      </c>
      <c r="B261" s="7">
        <v>0.91554398148148153</v>
      </c>
      <c r="C261" s="5" t="s">
        <v>8</v>
      </c>
      <c r="D261" s="5" t="s">
        <v>395</v>
      </c>
      <c r="E261" s="5" t="s">
        <v>10</v>
      </c>
      <c r="H261" s="5">
        <v>120</v>
      </c>
      <c r="I261" s="5" t="str">
        <f t="shared" si="12"/>
        <v>OFFLINE</v>
      </c>
      <c r="J261" s="5" t="str">
        <f t="shared" si="13"/>
        <v>Sale</v>
      </c>
      <c r="K261" s="5">
        <f t="shared" si="14"/>
        <v>120</v>
      </c>
    </row>
    <row r="262" spans="1:11">
      <c r="A262" s="6">
        <v>46047</v>
      </c>
      <c r="B262" s="7">
        <v>0.91521990740740744</v>
      </c>
      <c r="C262" s="5" t="s">
        <v>11</v>
      </c>
      <c r="D262" s="5" t="s">
        <v>396</v>
      </c>
      <c r="E262" s="5" t="s">
        <v>13</v>
      </c>
      <c r="H262" s="5">
        <v>860</v>
      </c>
      <c r="I262" s="5" t="str">
        <f t="shared" si="12"/>
        <v>OFFLINE</v>
      </c>
      <c r="J262" s="5" t="str">
        <f t="shared" si="13"/>
        <v>Sale</v>
      </c>
      <c r="K262" s="5">
        <f t="shared" si="14"/>
        <v>860</v>
      </c>
    </row>
    <row r="263" spans="1:11">
      <c r="A263" s="6">
        <v>46047</v>
      </c>
      <c r="B263" s="7">
        <v>0.91488425925925931</v>
      </c>
      <c r="C263" s="5" t="s">
        <v>14</v>
      </c>
      <c r="D263" s="5" t="s">
        <v>397</v>
      </c>
      <c r="E263" s="5" t="s">
        <v>16</v>
      </c>
      <c r="H263" s="5">
        <v>-240</v>
      </c>
      <c r="I263" s="5" t="str">
        <f t="shared" si="12"/>
        <v>OFFLINE</v>
      </c>
      <c r="J263" s="5" t="str">
        <f t="shared" si="13"/>
        <v>Return</v>
      </c>
      <c r="K263" s="5">
        <f t="shared" si="14"/>
        <v>240</v>
      </c>
    </row>
    <row r="264" spans="1:11">
      <c r="A264" s="6">
        <v>46047</v>
      </c>
      <c r="B264" s="7">
        <v>0.91456018518518523</v>
      </c>
      <c r="C264" s="5" t="s">
        <v>8</v>
      </c>
      <c r="D264" s="5" t="s">
        <v>398</v>
      </c>
      <c r="E264" s="5" t="s">
        <v>10</v>
      </c>
      <c r="F264" s="5" t="s">
        <v>399</v>
      </c>
      <c r="G264" s="5" t="s">
        <v>400</v>
      </c>
      <c r="H264" s="5">
        <v>3340</v>
      </c>
      <c r="I264" s="5" t="str">
        <f t="shared" si="12"/>
        <v>ONLINE</v>
      </c>
      <c r="J264" s="5" t="str">
        <f t="shared" si="13"/>
        <v>Sale</v>
      </c>
      <c r="K264" s="5">
        <f t="shared" si="14"/>
        <v>3340</v>
      </c>
    </row>
    <row r="265" spans="1:11">
      <c r="A265" s="6">
        <v>46047</v>
      </c>
      <c r="B265" s="7">
        <v>0.91422453703703699</v>
      </c>
      <c r="C265" s="5" t="s">
        <v>11</v>
      </c>
      <c r="D265" s="5" t="s">
        <v>401</v>
      </c>
      <c r="E265" s="5" t="s">
        <v>13</v>
      </c>
      <c r="H265" s="5">
        <v>290</v>
      </c>
      <c r="I265" s="5" t="str">
        <f t="shared" si="12"/>
        <v>OFFLINE</v>
      </c>
      <c r="J265" s="5" t="str">
        <f t="shared" si="13"/>
        <v>Sale</v>
      </c>
      <c r="K265" s="5">
        <f t="shared" si="14"/>
        <v>290</v>
      </c>
    </row>
    <row r="266" spans="1:11">
      <c r="A266" s="6">
        <v>46047</v>
      </c>
      <c r="B266" s="7">
        <v>0.91390046296296301</v>
      </c>
      <c r="C266" s="5" t="s">
        <v>14</v>
      </c>
      <c r="D266" s="5" t="s">
        <v>402</v>
      </c>
      <c r="E266" s="5" t="s">
        <v>16</v>
      </c>
      <c r="H266" s="5">
        <v>640</v>
      </c>
      <c r="I266" s="5" t="str">
        <f t="shared" si="12"/>
        <v>OFFLINE</v>
      </c>
      <c r="J266" s="5" t="str">
        <f t="shared" si="13"/>
        <v>Sale</v>
      </c>
      <c r="K266" s="5">
        <f t="shared" si="14"/>
        <v>640</v>
      </c>
    </row>
    <row r="267" spans="1:11">
      <c r="A267" s="6">
        <v>46047</v>
      </c>
      <c r="B267" s="7">
        <v>0.91356481481481477</v>
      </c>
      <c r="C267" s="5" t="s">
        <v>8</v>
      </c>
      <c r="D267" s="5" t="s">
        <v>403</v>
      </c>
      <c r="E267" s="5" t="s">
        <v>10</v>
      </c>
      <c r="H267" s="5">
        <v>470</v>
      </c>
      <c r="I267" s="5" t="str">
        <f t="shared" si="12"/>
        <v>OFFLINE</v>
      </c>
      <c r="J267" s="5" t="str">
        <f t="shared" si="13"/>
        <v>Sale</v>
      </c>
      <c r="K267" s="5">
        <f t="shared" si="14"/>
        <v>470</v>
      </c>
    </row>
    <row r="268" spans="1:11">
      <c r="A268" s="6">
        <v>46047</v>
      </c>
      <c r="B268" s="7">
        <v>0.91324074074074069</v>
      </c>
      <c r="C268" s="5" t="s">
        <v>11</v>
      </c>
      <c r="D268" s="5" t="s">
        <v>404</v>
      </c>
      <c r="E268" s="5" t="s">
        <v>13</v>
      </c>
      <c r="F268" s="5" t="s">
        <v>405</v>
      </c>
      <c r="G268" s="5" t="s">
        <v>406</v>
      </c>
      <c r="H268" s="5">
        <v>2210</v>
      </c>
      <c r="I268" s="5" t="str">
        <f t="shared" si="12"/>
        <v>ONLINE</v>
      </c>
      <c r="J268" s="5" t="str">
        <f t="shared" si="13"/>
        <v>Sale</v>
      </c>
      <c r="K268" s="5">
        <f t="shared" si="14"/>
        <v>2210</v>
      </c>
    </row>
    <row r="269" spans="1:11">
      <c r="A269" s="6">
        <v>46047</v>
      </c>
      <c r="B269" s="7">
        <v>0.91290509259259256</v>
      </c>
      <c r="C269" s="5" t="s">
        <v>14</v>
      </c>
      <c r="D269" s="5" t="s">
        <v>407</v>
      </c>
      <c r="E269" s="5" t="s">
        <v>16</v>
      </c>
      <c r="H269" s="5">
        <v>510</v>
      </c>
      <c r="I269" s="5" t="str">
        <f t="shared" si="12"/>
        <v>OFFLINE</v>
      </c>
      <c r="J269" s="5" t="str">
        <f t="shared" si="13"/>
        <v>Sale</v>
      </c>
      <c r="K269" s="5">
        <f t="shared" si="14"/>
        <v>510</v>
      </c>
    </row>
    <row r="270" spans="1:11">
      <c r="A270" s="6">
        <v>46047</v>
      </c>
      <c r="B270" s="7">
        <v>0.91258101851851847</v>
      </c>
      <c r="C270" s="5" t="s">
        <v>8</v>
      </c>
      <c r="D270" s="5" t="s">
        <v>408</v>
      </c>
      <c r="E270" s="5" t="s">
        <v>10</v>
      </c>
      <c r="H270" s="5">
        <v>780</v>
      </c>
      <c r="I270" s="5" t="str">
        <f t="shared" si="12"/>
        <v>OFFLINE</v>
      </c>
      <c r="J270" s="5" t="str">
        <f t="shared" si="13"/>
        <v>Sale</v>
      </c>
      <c r="K270" s="5">
        <f t="shared" si="14"/>
        <v>780</v>
      </c>
    </row>
    <row r="271" spans="1:11">
      <c r="A271" s="6">
        <v>46047</v>
      </c>
      <c r="B271" s="7">
        <v>0.91224537037037035</v>
      </c>
      <c r="C271" s="5" t="s">
        <v>11</v>
      </c>
      <c r="D271" s="5" t="s">
        <v>409</v>
      </c>
      <c r="E271" s="5" t="s">
        <v>13</v>
      </c>
      <c r="H271" s="5">
        <v>260</v>
      </c>
      <c r="I271" s="5" t="str">
        <f t="shared" si="12"/>
        <v>OFFLINE</v>
      </c>
      <c r="J271" s="5" t="str">
        <f t="shared" si="13"/>
        <v>Sale</v>
      </c>
      <c r="K271" s="5">
        <f t="shared" si="14"/>
        <v>260</v>
      </c>
    </row>
    <row r="272" spans="1:11">
      <c r="A272" s="6">
        <v>46047</v>
      </c>
      <c r="B272" s="7">
        <v>0.91192129629629626</v>
      </c>
      <c r="C272" s="5" t="s">
        <v>14</v>
      </c>
      <c r="D272" s="5" t="s">
        <v>410</v>
      </c>
      <c r="E272" s="5" t="s">
        <v>16</v>
      </c>
      <c r="F272" s="5" t="s">
        <v>411</v>
      </c>
      <c r="G272" s="5" t="s">
        <v>412</v>
      </c>
      <c r="H272" s="5">
        <v>3050</v>
      </c>
      <c r="I272" s="5" t="str">
        <f t="shared" si="12"/>
        <v>ONLINE</v>
      </c>
      <c r="J272" s="5" t="str">
        <f t="shared" si="13"/>
        <v>Sale</v>
      </c>
      <c r="K272" s="5">
        <f t="shared" si="14"/>
        <v>3050</v>
      </c>
    </row>
    <row r="273" spans="1:11">
      <c r="A273" s="6">
        <v>46047</v>
      </c>
      <c r="B273" s="7">
        <v>0.91158564814814813</v>
      </c>
      <c r="C273" s="5" t="s">
        <v>8</v>
      </c>
      <c r="D273" s="5" t="s">
        <v>413</v>
      </c>
      <c r="E273" s="5" t="s">
        <v>10</v>
      </c>
      <c r="H273" s="5">
        <v>430</v>
      </c>
      <c r="I273" s="5" t="str">
        <f t="shared" si="12"/>
        <v>OFFLINE</v>
      </c>
      <c r="J273" s="5" t="str">
        <f t="shared" si="13"/>
        <v>Sale</v>
      </c>
      <c r="K273" s="5">
        <f t="shared" si="14"/>
        <v>430</v>
      </c>
    </row>
    <row r="274" spans="1:11">
      <c r="A274" s="6">
        <v>46047</v>
      </c>
      <c r="B274" s="7">
        <v>0.91126157407407404</v>
      </c>
      <c r="C274" s="5" t="s">
        <v>11</v>
      </c>
      <c r="D274" s="5" t="s">
        <v>414</v>
      </c>
      <c r="E274" s="5" t="s">
        <v>13</v>
      </c>
      <c r="H274" s="5">
        <v>690</v>
      </c>
      <c r="I274" s="5" t="str">
        <f t="shared" si="12"/>
        <v>OFFLINE</v>
      </c>
      <c r="J274" s="5" t="str">
        <f t="shared" si="13"/>
        <v>Sale</v>
      </c>
      <c r="K274" s="5">
        <f t="shared" si="14"/>
        <v>690</v>
      </c>
    </row>
    <row r="275" spans="1:11">
      <c r="A275" s="6">
        <v>46047</v>
      </c>
      <c r="B275" s="7">
        <v>0.91092592592592592</v>
      </c>
      <c r="C275" s="5" t="s">
        <v>14</v>
      </c>
      <c r="D275" s="5" t="s">
        <v>415</v>
      </c>
      <c r="E275" s="5" t="s">
        <v>16</v>
      </c>
      <c r="H275" s="5">
        <v>920</v>
      </c>
      <c r="I275" s="5" t="str">
        <f t="shared" si="12"/>
        <v>OFFLINE</v>
      </c>
      <c r="J275" s="5" t="str">
        <f t="shared" si="13"/>
        <v>Sale</v>
      </c>
      <c r="K275" s="5">
        <f t="shared" si="14"/>
        <v>920</v>
      </c>
    </row>
    <row r="276" spans="1:11">
      <c r="A276" s="6">
        <v>46047</v>
      </c>
      <c r="B276" s="7">
        <v>0.91060185185185183</v>
      </c>
      <c r="C276" s="5" t="s">
        <v>8</v>
      </c>
      <c r="D276" s="5" t="s">
        <v>416</v>
      </c>
      <c r="E276" s="5" t="s">
        <v>10</v>
      </c>
      <c r="F276" s="5" t="s">
        <v>417</v>
      </c>
      <c r="G276" s="5" t="s">
        <v>418</v>
      </c>
      <c r="H276" s="5">
        <v>1670</v>
      </c>
      <c r="I276" s="5" t="str">
        <f t="shared" si="12"/>
        <v>ONLINE</v>
      </c>
      <c r="J276" s="5" t="str">
        <f t="shared" si="13"/>
        <v>Sale</v>
      </c>
      <c r="K276" s="5">
        <f t="shared" si="14"/>
        <v>1670</v>
      </c>
    </row>
    <row r="277" spans="1:11">
      <c r="A277" s="6">
        <v>46047</v>
      </c>
      <c r="B277" s="7">
        <v>0.9102662037037037</v>
      </c>
      <c r="C277" s="5" t="s">
        <v>11</v>
      </c>
      <c r="D277" s="5" t="s">
        <v>419</v>
      </c>
      <c r="E277" s="5" t="s">
        <v>13</v>
      </c>
      <c r="H277" s="5">
        <v>350</v>
      </c>
      <c r="I277" s="5" t="str">
        <f t="shared" si="12"/>
        <v>OFFLINE</v>
      </c>
      <c r="J277" s="5" t="str">
        <f t="shared" si="13"/>
        <v>Sale</v>
      </c>
      <c r="K277" s="5">
        <f t="shared" si="14"/>
        <v>350</v>
      </c>
    </row>
    <row r="278" spans="1:11">
      <c r="A278" s="6">
        <v>46047</v>
      </c>
      <c r="B278" s="7">
        <v>0.90993055555555558</v>
      </c>
      <c r="C278" s="5" t="s">
        <v>14</v>
      </c>
      <c r="D278" s="5" t="s">
        <v>420</v>
      </c>
      <c r="E278" s="5" t="s">
        <v>16</v>
      </c>
      <c r="H278" s="5">
        <v>540</v>
      </c>
      <c r="I278" s="5" t="str">
        <f t="shared" si="12"/>
        <v>OFFLINE</v>
      </c>
      <c r="J278" s="5" t="str">
        <f t="shared" si="13"/>
        <v>Sale</v>
      </c>
      <c r="K278" s="5">
        <f t="shared" si="14"/>
        <v>540</v>
      </c>
    </row>
    <row r="279" spans="1:11">
      <c r="A279" s="6">
        <v>46047</v>
      </c>
      <c r="B279" s="7">
        <v>0.90960648148148149</v>
      </c>
      <c r="C279" s="5" t="s">
        <v>8</v>
      </c>
      <c r="D279" s="5" t="s">
        <v>421</v>
      </c>
      <c r="E279" s="5" t="s">
        <v>10</v>
      </c>
      <c r="H279" s="5">
        <v>-180</v>
      </c>
      <c r="I279" s="5" t="str">
        <f t="shared" si="12"/>
        <v>OFFLINE</v>
      </c>
      <c r="J279" s="5" t="str">
        <f t="shared" si="13"/>
        <v>Return</v>
      </c>
      <c r="K279" s="5">
        <f t="shared" si="14"/>
        <v>180</v>
      </c>
    </row>
    <row r="280" spans="1:11">
      <c r="A280" s="6">
        <v>46047</v>
      </c>
      <c r="B280" s="7">
        <v>0.90927083333333336</v>
      </c>
      <c r="C280" s="5" t="s">
        <v>11</v>
      </c>
      <c r="D280" s="5" t="s">
        <v>422</v>
      </c>
      <c r="E280" s="5" t="s">
        <v>13</v>
      </c>
      <c r="F280" s="5" t="s">
        <v>423</v>
      </c>
      <c r="G280" s="5" t="s">
        <v>424</v>
      </c>
      <c r="H280" s="5">
        <v>2480</v>
      </c>
      <c r="I280" s="5" t="str">
        <f t="shared" si="12"/>
        <v>ONLINE</v>
      </c>
      <c r="J280" s="5" t="str">
        <f t="shared" si="13"/>
        <v>Sale</v>
      </c>
      <c r="K280" s="5">
        <f t="shared" si="14"/>
        <v>2480</v>
      </c>
    </row>
    <row r="281" spans="1:11">
      <c r="A281" s="6">
        <v>46047</v>
      </c>
      <c r="B281" s="7">
        <v>0.90894675925925927</v>
      </c>
      <c r="C281" s="5" t="s">
        <v>14</v>
      </c>
      <c r="D281" s="5" t="s">
        <v>425</v>
      </c>
      <c r="E281" s="5" t="s">
        <v>16</v>
      </c>
      <c r="H281" s="5">
        <v>610</v>
      </c>
      <c r="I281" s="5" t="str">
        <f t="shared" si="12"/>
        <v>OFFLINE</v>
      </c>
      <c r="J281" s="5" t="str">
        <f t="shared" si="13"/>
        <v>Sale</v>
      </c>
      <c r="K281" s="5">
        <f t="shared" si="14"/>
        <v>610</v>
      </c>
    </row>
    <row r="282" spans="1:11">
      <c r="A282" s="6">
        <v>46047</v>
      </c>
      <c r="B282" s="7">
        <v>0.90861111111111115</v>
      </c>
      <c r="C282" s="5" t="s">
        <v>8</v>
      </c>
      <c r="D282" s="5" t="s">
        <v>426</v>
      </c>
      <c r="E282" s="5" t="s">
        <v>10</v>
      </c>
      <c r="H282" s="5">
        <v>290</v>
      </c>
      <c r="I282" s="5" t="str">
        <f t="shared" si="12"/>
        <v>OFFLINE</v>
      </c>
      <c r="J282" s="5" t="str">
        <f t="shared" si="13"/>
        <v>Sale</v>
      </c>
      <c r="K282" s="5">
        <f t="shared" si="14"/>
        <v>290</v>
      </c>
    </row>
    <row r="283" spans="1:11">
      <c r="A283" s="6">
        <v>46047</v>
      </c>
      <c r="B283" s="7">
        <v>0.90828703703703706</v>
      </c>
      <c r="C283" s="5" t="s">
        <v>11</v>
      </c>
      <c r="D283" s="5" t="s">
        <v>427</v>
      </c>
      <c r="E283" s="5" t="s">
        <v>13</v>
      </c>
      <c r="H283" s="5">
        <v>870</v>
      </c>
      <c r="I283" s="5" t="str">
        <f t="shared" si="12"/>
        <v>OFFLINE</v>
      </c>
      <c r="J283" s="5" t="str">
        <f t="shared" si="13"/>
        <v>Sale</v>
      </c>
      <c r="K283" s="5">
        <f t="shared" si="14"/>
        <v>870</v>
      </c>
    </row>
    <row r="284" spans="1:11">
      <c r="A284" s="6">
        <v>46047</v>
      </c>
      <c r="B284" s="7">
        <v>0.90795138888888893</v>
      </c>
      <c r="C284" s="5" t="s">
        <v>14</v>
      </c>
      <c r="D284" s="5" t="s">
        <v>428</v>
      </c>
      <c r="E284" s="5" t="s">
        <v>16</v>
      </c>
      <c r="F284" s="5" t="s">
        <v>429</v>
      </c>
      <c r="G284" s="5" t="s">
        <v>430</v>
      </c>
      <c r="H284" s="5">
        <v>1920</v>
      </c>
      <c r="I284" s="5" t="str">
        <f t="shared" si="12"/>
        <v>ONLINE</v>
      </c>
      <c r="J284" s="5" t="str">
        <f t="shared" si="13"/>
        <v>Sale</v>
      </c>
      <c r="K284" s="5">
        <f t="shared" si="14"/>
        <v>1920</v>
      </c>
    </row>
    <row r="285" spans="1:11">
      <c r="A285" s="6">
        <v>46047</v>
      </c>
      <c r="B285" s="7">
        <v>0.90762731481481485</v>
      </c>
      <c r="C285" s="5" t="s">
        <v>8</v>
      </c>
      <c r="D285" s="5" t="s">
        <v>431</v>
      </c>
      <c r="E285" s="5" t="s">
        <v>10</v>
      </c>
      <c r="H285" s="5">
        <v>410</v>
      </c>
      <c r="I285" s="5" t="str">
        <f t="shared" si="12"/>
        <v>OFFLINE</v>
      </c>
      <c r="J285" s="5" t="str">
        <f t="shared" si="13"/>
        <v>Sale</v>
      </c>
      <c r="K285" s="5">
        <f t="shared" si="14"/>
        <v>410</v>
      </c>
    </row>
    <row r="286" spans="1:11">
      <c r="A286" s="6">
        <v>46047</v>
      </c>
      <c r="B286" s="7">
        <v>0.90729166666666672</v>
      </c>
      <c r="C286" s="5" t="s">
        <v>11</v>
      </c>
      <c r="D286" s="5" t="s">
        <v>432</v>
      </c>
      <c r="E286" s="5" t="s">
        <v>13</v>
      </c>
      <c r="H286" s="5">
        <v>560</v>
      </c>
      <c r="I286" s="5" t="str">
        <f t="shared" si="12"/>
        <v>OFFLINE</v>
      </c>
      <c r="J286" s="5" t="str">
        <f t="shared" si="13"/>
        <v>Sale</v>
      </c>
      <c r="K286" s="5">
        <f t="shared" si="14"/>
        <v>560</v>
      </c>
    </row>
    <row r="287" spans="1:11">
      <c r="A287" s="6">
        <v>46047</v>
      </c>
      <c r="B287" s="7">
        <v>0.90696759259259263</v>
      </c>
      <c r="C287" s="5" t="s">
        <v>14</v>
      </c>
      <c r="D287" s="5" t="s">
        <v>433</v>
      </c>
      <c r="E287" s="5" t="s">
        <v>16</v>
      </c>
      <c r="H287" s="5">
        <v>980</v>
      </c>
      <c r="I287" s="5" t="str">
        <f t="shared" si="12"/>
        <v>OFFLINE</v>
      </c>
      <c r="J287" s="5" t="str">
        <f t="shared" si="13"/>
        <v>Sale</v>
      </c>
      <c r="K287" s="5">
        <f t="shared" si="14"/>
        <v>980</v>
      </c>
    </row>
    <row r="288" spans="1:11">
      <c r="A288" s="6">
        <v>46047</v>
      </c>
      <c r="B288" s="7">
        <v>0.90663194444444439</v>
      </c>
      <c r="C288" s="5" t="s">
        <v>8</v>
      </c>
      <c r="D288" s="5" t="s">
        <v>434</v>
      </c>
      <c r="E288" s="5" t="s">
        <v>10</v>
      </c>
      <c r="F288" s="5" t="s">
        <v>435</v>
      </c>
      <c r="G288" s="5" t="s">
        <v>436</v>
      </c>
      <c r="H288" s="5">
        <v>2750</v>
      </c>
      <c r="I288" s="5" t="str">
        <f t="shared" si="12"/>
        <v>ONLINE</v>
      </c>
      <c r="J288" s="5" t="str">
        <f t="shared" si="13"/>
        <v>Sale</v>
      </c>
      <c r="K288" s="5">
        <f t="shared" si="14"/>
        <v>2750</v>
      </c>
    </row>
    <row r="289" spans="1:11">
      <c r="A289" s="6">
        <v>46047</v>
      </c>
      <c r="B289" s="7">
        <v>0.90630787037037042</v>
      </c>
      <c r="C289" s="5" t="s">
        <v>11</v>
      </c>
      <c r="D289" s="5" t="s">
        <v>437</v>
      </c>
      <c r="E289" s="5" t="s">
        <v>13</v>
      </c>
      <c r="H289" s="5">
        <v>230</v>
      </c>
      <c r="I289" s="5" t="str">
        <f t="shared" si="12"/>
        <v>OFFLINE</v>
      </c>
      <c r="J289" s="5" t="str">
        <f t="shared" si="13"/>
        <v>Sale</v>
      </c>
      <c r="K289" s="5">
        <f t="shared" si="14"/>
        <v>230</v>
      </c>
    </row>
    <row r="290" spans="1:11">
      <c r="A290" s="6">
        <v>46047</v>
      </c>
      <c r="B290" s="7">
        <v>0.90597222222222218</v>
      </c>
      <c r="C290" s="5" t="s">
        <v>14</v>
      </c>
      <c r="D290" s="5" t="s">
        <v>438</v>
      </c>
      <c r="E290" s="5" t="s">
        <v>16</v>
      </c>
      <c r="H290" s="5">
        <v>740</v>
      </c>
      <c r="I290" s="5" t="str">
        <f t="shared" si="12"/>
        <v>OFFLINE</v>
      </c>
      <c r="J290" s="5" t="str">
        <f t="shared" si="13"/>
        <v>Sale</v>
      </c>
      <c r="K290" s="5">
        <f t="shared" si="14"/>
        <v>740</v>
      </c>
    </row>
    <row r="291" spans="1:11">
      <c r="A291" s="6">
        <v>46047</v>
      </c>
      <c r="B291" s="7">
        <v>0.9056481481481482</v>
      </c>
      <c r="C291" s="5" t="s">
        <v>8</v>
      </c>
      <c r="D291" s="5" t="s">
        <v>439</v>
      </c>
      <c r="E291" s="5" t="s">
        <v>10</v>
      </c>
      <c r="H291" s="5">
        <v>360</v>
      </c>
      <c r="I291" s="5" t="str">
        <f t="shared" si="12"/>
        <v>OFFLINE</v>
      </c>
      <c r="J291" s="5" t="str">
        <f t="shared" si="13"/>
        <v>Sale</v>
      </c>
      <c r="K291" s="5">
        <f t="shared" si="14"/>
        <v>360</v>
      </c>
    </row>
    <row r="292" spans="1:11">
      <c r="A292" s="6">
        <v>46047</v>
      </c>
      <c r="B292" s="7">
        <v>0.90531249999999996</v>
      </c>
      <c r="C292" s="5" t="s">
        <v>11</v>
      </c>
      <c r="D292" s="5" t="s">
        <v>440</v>
      </c>
      <c r="E292" s="5" t="s">
        <v>13</v>
      </c>
      <c r="F292" s="5" t="s">
        <v>441</v>
      </c>
      <c r="G292" s="5" t="s">
        <v>442</v>
      </c>
      <c r="H292" s="5">
        <v>3180</v>
      </c>
      <c r="I292" s="5" t="str">
        <f t="shared" si="12"/>
        <v>ONLINE</v>
      </c>
      <c r="J292" s="5" t="str">
        <f t="shared" si="13"/>
        <v>Sale</v>
      </c>
      <c r="K292" s="5">
        <f t="shared" si="14"/>
        <v>3180</v>
      </c>
    </row>
    <row r="293" spans="1:11">
      <c r="A293" s="6">
        <v>46047</v>
      </c>
      <c r="B293" s="7">
        <v>0.90498842592592588</v>
      </c>
      <c r="C293" s="5" t="s">
        <v>14</v>
      </c>
      <c r="D293" s="5" t="s">
        <v>443</v>
      </c>
      <c r="E293" s="5" t="s">
        <v>16</v>
      </c>
      <c r="H293" s="5">
        <v>520</v>
      </c>
      <c r="I293" s="5" t="str">
        <f t="shared" si="12"/>
        <v>OFFLINE</v>
      </c>
      <c r="J293" s="5" t="str">
        <f t="shared" si="13"/>
        <v>Sale</v>
      </c>
      <c r="K293" s="5">
        <f t="shared" si="14"/>
        <v>520</v>
      </c>
    </row>
    <row r="294" spans="1:11">
      <c r="A294" s="6">
        <v>46047</v>
      </c>
      <c r="B294" s="7">
        <v>0.90465277777777775</v>
      </c>
      <c r="C294" s="5" t="s">
        <v>8</v>
      </c>
      <c r="D294" s="5" t="s">
        <v>444</v>
      </c>
      <c r="E294" s="5" t="s">
        <v>10</v>
      </c>
      <c r="H294" s="5">
        <v>690</v>
      </c>
      <c r="I294" s="5" t="str">
        <f t="shared" si="12"/>
        <v>OFFLINE</v>
      </c>
      <c r="J294" s="5" t="str">
        <f t="shared" si="13"/>
        <v>Sale</v>
      </c>
      <c r="K294" s="5">
        <f t="shared" si="14"/>
        <v>690</v>
      </c>
    </row>
    <row r="295" spans="1:11">
      <c r="A295" s="6">
        <v>46047</v>
      </c>
      <c r="B295" s="7">
        <v>0.90432870370370366</v>
      </c>
      <c r="C295" s="5" t="s">
        <v>11</v>
      </c>
      <c r="D295" s="5" t="s">
        <v>445</v>
      </c>
      <c r="E295" s="5" t="s">
        <v>13</v>
      </c>
      <c r="H295" s="5">
        <v>-210</v>
      </c>
      <c r="I295" s="5" t="str">
        <f t="shared" si="12"/>
        <v>OFFLINE</v>
      </c>
      <c r="J295" s="5" t="str">
        <f t="shared" si="13"/>
        <v>Return</v>
      </c>
      <c r="K295" s="5">
        <f t="shared" si="14"/>
        <v>210</v>
      </c>
    </row>
    <row r="296" spans="1:11">
      <c r="A296" s="6">
        <v>46047</v>
      </c>
      <c r="B296" s="7">
        <v>0.90399305555555554</v>
      </c>
      <c r="C296" s="5" t="s">
        <v>14</v>
      </c>
      <c r="D296" s="5" t="s">
        <v>446</v>
      </c>
      <c r="E296" s="5" t="s">
        <v>16</v>
      </c>
      <c r="F296" s="5" t="s">
        <v>447</v>
      </c>
      <c r="G296" s="5" t="s">
        <v>448</v>
      </c>
      <c r="H296" s="5">
        <v>2040</v>
      </c>
      <c r="I296" s="5" t="str">
        <f t="shared" si="12"/>
        <v>ONLINE</v>
      </c>
      <c r="J296" s="5" t="str">
        <f t="shared" si="13"/>
        <v>Sale</v>
      </c>
      <c r="K296" s="5">
        <f t="shared" si="14"/>
        <v>2040</v>
      </c>
    </row>
    <row r="297" spans="1:11">
      <c r="A297" s="6">
        <v>46047</v>
      </c>
      <c r="B297" s="7">
        <v>0.90366898148148145</v>
      </c>
      <c r="C297" s="5" t="s">
        <v>8</v>
      </c>
      <c r="D297" s="5" t="s">
        <v>449</v>
      </c>
      <c r="E297" s="5" t="s">
        <v>10</v>
      </c>
      <c r="H297" s="5">
        <v>480</v>
      </c>
      <c r="I297" s="5" t="str">
        <f t="shared" si="12"/>
        <v>OFFLINE</v>
      </c>
      <c r="J297" s="5" t="str">
        <f t="shared" si="13"/>
        <v>Sale</v>
      </c>
      <c r="K297" s="5">
        <f t="shared" si="14"/>
        <v>480</v>
      </c>
    </row>
    <row r="298" spans="1:11">
      <c r="A298" s="6">
        <v>46047</v>
      </c>
      <c r="B298" s="7">
        <v>0.90333333333333332</v>
      </c>
      <c r="C298" s="5" t="s">
        <v>11</v>
      </c>
      <c r="D298" s="5" t="s">
        <v>450</v>
      </c>
      <c r="E298" s="5" t="s">
        <v>13</v>
      </c>
      <c r="H298" s="5">
        <v>830</v>
      </c>
      <c r="I298" s="5" t="str">
        <f t="shared" si="12"/>
        <v>OFFLINE</v>
      </c>
      <c r="J298" s="5" t="str">
        <f t="shared" si="13"/>
        <v>Sale</v>
      </c>
      <c r="K298" s="5">
        <f t="shared" si="14"/>
        <v>830</v>
      </c>
    </row>
    <row r="299" spans="1:11">
      <c r="A299" s="6">
        <v>46047</v>
      </c>
      <c r="B299" s="7">
        <v>0.90300925925925923</v>
      </c>
      <c r="C299" s="5" t="s">
        <v>14</v>
      </c>
      <c r="D299" s="5" t="s">
        <v>451</v>
      </c>
      <c r="E299" s="5" t="s">
        <v>16</v>
      </c>
      <c r="H299" s="5">
        <v>610</v>
      </c>
      <c r="I299" s="5" t="str">
        <f t="shared" si="12"/>
        <v>OFFLINE</v>
      </c>
      <c r="J299" s="5" t="str">
        <f t="shared" si="13"/>
        <v>Sale</v>
      </c>
      <c r="K299" s="5">
        <f t="shared" si="14"/>
        <v>610</v>
      </c>
    </row>
    <row r="300" spans="1:11">
      <c r="A300" s="6">
        <v>46047</v>
      </c>
      <c r="B300" s="7">
        <v>0.90268518518518515</v>
      </c>
      <c r="C300" s="5" t="s">
        <v>8</v>
      </c>
      <c r="D300" s="5" t="s">
        <v>452</v>
      </c>
      <c r="E300" s="5" t="s">
        <v>10</v>
      </c>
      <c r="H300" s="5">
        <v>420</v>
      </c>
      <c r="I300" s="5" t="str">
        <f t="shared" si="12"/>
        <v>OFFLINE</v>
      </c>
      <c r="J300" s="5" t="str">
        <f t="shared" si="13"/>
        <v>Sale</v>
      </c>
      <c r="K300" s="5">
        <f t="shared" si="14"/>
        <v>420</v>
      </c>
    </row>
    <row r="301" spans="1:11">
      <c r="A301" s="6">
        <v>46047</v>
      </c>
      <c r="B301" s="7">
        <v>0.90236111111111106</v>
      </c>
      <c r="C301" s="5" t="s">
        <v>11</v>
      </c>
      <c r="D301" s="5" t="s">
        <v>453</v>
      </c>
      <c r="E301" s="5" t="s">
        <v>13</v>
      </c>
      <c r="H301" s="5">
        <v>260</v>
      </c>
      <c r="I301" s="5" t="str">
        <f t="shared" si="12"/>
        <v>OFFLINE</v>
      </c>
      <c r="J301" s="5" t="str">
        <f t="shared" si="13"/>
        <v>Sale</v>
      </c>
      <c r="K301" s="5">
        <f t="shared" si="14"/>
        <v>260</v>
      </c>
    </row>
    <row r="302" spans="1:11">
      <c r="A302" s="6">
        <v>46047</v>
      </c>
      <c r="B302" s="7">
        <v>0.90203703703703708</v>
      </c>
      <c r="C302" s="5" t="s">
        <v>14</v>
      </c>
      <c r="D302" s="5" t="s">
        <v>454</v>
      </c>
      <c r="E302" s="5" t="s">
        <v>16</v>
      </c>
      <c r="F302" s="5" t="s">
        <v>455</v>
      </c>
      <c r="G302" s="5" t="s">
        <v>456</v>
      </c>
      <c r="H302" s="5">
        <v>1980</v>
      </c>
      <c r="I302" s="5" t="str">
        <f t="shared" si="12"/>
        <v>ONLINE</v>
      </c>
      <c r="J302" s="5" t="str">
        <f t="shared" si="13"/>
        <v>Sale</v>
      </c>
      <c r="K302" s="5">
        <f t="shared" si="14"/>
        <v>1980</v>
      </c>
    </row>
    <row r="303" spans="1:11">
      <c r="A303" s="6">
        <v>46047</v>
      </c>
      <c r="B303" s="7">
        <v>0.90170138888888884</v>
      </c>
      <c r="C303" s="5" t="s">
        <v>8</v>
      </c>
      <c r="D303" s="5" t="s">
        <v>457</v>
      </c>
      <c r="E303" s="5" t="s">
        <v>10</v>
      </c>
      <c r="H303" s="5">
        <v>150</v>
      </c>
      <c r="I303" s="5" t="str">
        <f t="shared" si="12"/>
        <v>OFFLINE</v>
      </c>
      <c r="J303" s="5" t="str">
        <f t="shared" si="13"/>
        <v>Sale</v>
      </c>
      <c r="K303" s="5">
        <f t="shared" si="14"/>
        <v>150</v>
      </c>
    </row>
    <row r="304" spans="1:11">
      <c r="A304" s="6">
        <v>46047</v>
      </c>
      <c r="B304" s="7">
        <v>0.90137731481481487</v>
      </c>
      <c r="C304" s="5" t="s">
        <v>11</v>
      </c>
      <c r="D304" s="5" t="s">
        <v>458</v>
      </c>
      <c r="E304" s="5" t="s">
        <v>13</v>
      </c>
      <c r="H304" s="5">
        <v>540</v>
      </c>
      <c r="I304" s="5" t="str">
        <f t="shared" si="12"/>
        <v>OFFLINE</v>
      </c>
      <c r="J304" s="5" t="str">
        <f t="shared" si="13"/>
        <v>Sale</v>
      </c>
      <c r="K304" s="5">
        <f t="shared" si="14"/>
        <v>540</v>
      </c>
    </row>
    <row r="305" spans="1:11">
      <c r="A305" s="6">
        <v>46047</v>
      </c>
      <c r="B305" s="7">
        <v>0.90105324074074078</v>
      </c>
      <c r="C305" s="5" t="s">
        <v>14</v>
      </c>
      <c r="D305" s="5" t="s">
        <v>459</v>
      </c>
      <c r="E305" s="5" t="s">
        <v>16</v>
      </c>
      <c r="H305" s="5">
        <v>880</v>
      </c>
      <c r="I305" s="5" t="str">
        <f t="shared" si="12"/>
        <v>OFFLINE</v>
      </c>
      <c r="J305" s="5" t="str">
        <f t="shared" si="13"/>
        <v>Sale</v>
      </c>
      <c r="K305" s="5">
        <f t="shared" si="14"/>
        <v>880</v>
      </c>
    </row>
    <row r="306" spans="1:11">
      <c r="A306" s="6">
        <v>46047</v>
      </c>
      <c r="B306" s="7">
        <v>0.90071759259259254</v>
      </c>
      <c r="C306" s="5" t="s">
        <v>8</v>
      </c>
      <c r="D306" s="5" t="s">
        <v>460</v>
      </c>
      <c r="E306" s="5" t="s">
        <v>10</v>
      </c>
      <c r="F306" s="5" t="s">
        <v>461</v>
      </c>
      <c r="G306" s="5" t="s">
        <v>462</v>
      </c>
      <c r="H306" s="5">
        <v>3120</v>
      </c>
      <c r="I306" s="5" t="str">
        <f t="shared" si="12"/>
        <v>ONLINE</v>
      </c>
      <c r="J306" s="5" t="str">
        <f t="shared" si="13"/>
        <v>Sale</v>
      </c>
      <c r="K306" s="5">
        <f t="shared" si="14"/>
        <v>3120</v>
      </c>
    </row>
    <row r="307" spans="1:11">
      <c r="A307" s="6">
        <v>46047</v>
      </c>
      <c r="B307" s="7">
        <v>0.90039351851851857</v>
      </c>
      <c r="C307" s="5" t="s">
        <v>11</v>
      </c>
      <c r="D307" s="5" t="s">
        <v>463</v>
      </c>
      <c r="E307" s="5" t="s">
        <v>13</v>
      </c>
      <c r="H307" s="5">
        <v>230</v>
      </c>
      <c r="I307" s="5" t="str">
        <f t="shared" si="12"/>
        <v>OFFLINE</v>
      </c>
      <c r="J307" s="5" t="str">
        <f t="shared" si="13"/>
        <v>Sale</v>
      </c>
      <c r="K307" s="5">
        <f t="shared" si="14"/>
        <v>230</v>
      </c>
    </row>
    <row r="308" spans="1:11">
      <c r="A308" s="6">
        <v>46047</v>
      </c>
      <c r="B308" s="7">
        <v>0.90005787037037033</v>
      </c>
      <c r="C308" s="5" t="s">
        <v>14</v>
      </c>
      <c r="D308" s="5" t="s">
        <v>464</v>
      </c>
      <c r="E308" s="5" t="s">
        <v>16</v>
      </c>
      <c r="H308" s="5">
        <v>760</v>
      </c>
      <c r="I308" s="5" t="str">
        <f t="shared" si="12"/>
        <v>OFFLINE</v>
      </c>
      <c r="J308" s="5" t="str">
        <f t="shared" si="13"/>
        <v>Sale</v>
      </c>
      <c r="K308" s="5">
        <f t="shared" si="14"/>
        <v>760</v>
      </c>
    </row>
    <row r="309" spans="1:11">
      <c r="A309" s="6">
        <v>46047</v>
      </c>
      <c r="B309" s="7">
        <v>0.89973379629629635</v>
      </c>
      <c r="C309" s="5" t="s">
        <v>8</v>
      </c>
      <c r="D309" s="5" t="s">
        <v>465</v>
      </c>
      <c r="E309" s="5" t="s">
        <v>10</v>
      </c>
      <c r="H309" s="5">
        <v>-190</v>
      </c>
      <c r="I309" s="5" t="str">
        <f t="shared" si="12"/>
        <v>OFFLINE</v>
      </c>
      <c r="J309" s="5" t="str">
        <f t="shared" si="13"/>
        <v>Return</v>
      </c>
      <c r="K309" s="5">
        <f t="shared" si="14"/>
        <v>190</v>
      </c>
    </row>
    <row r="310" spans="1:11">
      <c r="A310" s="6">
        <v>46047</v>
      </c>
      <c r="B310" s="7">
        <v>0.89939814814814811</v>
      </c>
      <c r="C310" s="5" t="s">
        <v>11</v>
      </c>
      <c r="D310" s="5" t="s">
        <v>466</v>
      </c>
      <c r="E310" s="5" t="s">
        <v>13</v>
      </c>
      <c r="H310" s="5">
        <v>410</v>
      </c>
      <c r="I310" s="5" t="str">
        <f t="shared" si="12"/>
        <v>OFFLINE</v>
      </c>
      <c r="J310" s="5" t="str">
        <f t="shared" si="13"/>
        <v>Sale</v>
      </c>
      <c r="K310" s="5">
        <f t="shared" si="14"/>
        <v>410</v>
      </c>
    </row>
    <row r="311" spans="1:11">
      <c r="A311" s="6">
        <v>46047</v>
      </c>
      <c r="B311" s="7">
        <v>0.89907407407407403</v>
      </c>
      <c r="C311" s="5" t="s">
        <v>14</v>
      </c>
      <c r="D311" s="5" t="s">
        <v>467</v>
      </c>
      <c r="E311" s="5" t="s">
        <v>16</v>
      </c>
      <c r="F311" s="5" t="s">
        <v>468</v>
      </c>
      <c r="G311" s="5" t="s">
        <v>469</v>
      </c>
      <c r="H311" s="5">
        <v>2450</v>
      </c>
      <c r="I311" s="5" t="str">
        <f t="shared" si="12"/>
        <v>ONLINE</v>
      </c>
      <c r="J311" s="5" t="str">
        <f t="shared" si="13"/>
        <v>Sale</v>
      </c>
      <c r="K311" s="5">
        <f t="shared" si="14"/>
        <v>2450</v>
      </c>
    </row>
    <row r="312" spans="1:11">
      <c r="A312" s="6">
        <v>46047</v>
      </c>
      <c r="B312" s="7">
        <v>0.8987384259259259</v>
      </c>
      <c r="C312" s="5" t="s">
        <v>8</v>
      </c>
      <c r="D312" s="5" t="s">
        <v>470</v>
      </c>
      <c r="E312" s="5" t="s">
        <v>10</v>
      </c>
      <c r="H312" s="5">
        <v>320</v>
      </c>
      <c r="I312" s="5" t="str">
        <f t="shared" si="12"/>
        <v>OFFLINE</v>
      </c>
      <c r="J312" s="5" t="str">
        <f t="shared" si="13"/>
        <v>Sale</v>
      </c>
      <c r="K312" s="5">
        <f t="shared" si="14"/>
        <v>320</v>
      </c>
    </row>
    <row r="313" spans="1:11">
      <c r="A313" s="6">
        <v>46047</v>
      </c>
      <c r="B313" s="7">
        <v>0.89841435185185181</v>
      </c>
      <c r="C313" s="5" t="s">
        <v>11</v>
      </c>
      <c r="D313" s="5" t="s">
        <v>471</v>
      </c>
      <c r="E313" s="5" t="s">
        <v>13</v>
      </c>
      <c r="H313" s="5">
        <v>690</v>
      </c>
      <c r="I313" s="5" t="str">
        <f t="shared" si="12"/>
        <v>OFFLINE</v>
      </c>
      <c r="J313" s="5" t="str">
        <f t="shared" si="13"/>
        <v>Sale</v>
      </c>
      <c r="K313" s="5">
        <f t="shared" si="14"/>
        <v>690</v>
      </c>
    </row>
    <row r="314" spans="1:11">
      <c r="A314" s="6">
        <v>46047</v>
      </c>
      <c r="B314" s="7">
        <v>0.89807870370370368</v>
      </c>
      <c r="C314" s="5" t="s">
        <v>14</v>
      </c>
      <c r="D314" s="5" t="s">
        <v>472</v>
      </c>
      <c r="E314" s="5" t="s">
        <v>16</v>
      </c>
      <c r="H314" s="5">
        <v>510</v>
      </c>
      <c r="I314" s="5" t="str">
        <f t="shared" si="12"/>
        <v>OFFLINE</v>
      </c>
      <c r="J314" s="5" t="str">
        <f t="shared" si="13"/>
        <v>Sale</v>
      </c>
      <c r="K314" s="5">
        <f t="shared" si="14"/>
        <v>510</v>
      </c>
    </row>
    <row r="315" spans="1:11">
      <c r="A315" s="6">
        <v>46047</v>
      </c>
      <c r="B315" s="7">
        <v>0.8977546296296296</v>
      </c>
      <c r="C315" s="5" t="s">
        <v>8</v>
      </c>
      <c r="D315" s="5" t="s">
        <v>473</v>
      </c>
      <c r="E315" s="5" t="s">
        <v>10</v>
      </c>
      <c r="F315" s="5" t="s">
        <v>474</v>
      </c>
      <c r="G315" s="5" t="s">
        <v>475</v>
      </c>
      <c r="H315" s="5">
        <v>1780</v>
      </c>
      <c r="I315" s="5" t="str">
        <f t="shared" si="12"/>
        <v>ONLINE</v>
      </c>
      <c r="J315" s="5" t="str">
        <f t="shared" si="13"/>
        <v>Sale</v>
      </c>
      <c r="K315" s="5">
        <f t="shared" si="14"/>
        <v>1780</v>
      </c>
    </row>
    <row r="316" spans="1:11">
      <c r="A316" s="6">
        <v>46047</v>
      </c>
      <c r="B316" s="7">
        <v>0.89741898148148147</v>
      </c>
      <c r="C316" s="5" t="s">
        <v>11</v>
      </c>
      <c r="D316" s="5" t="s">
        <v>476</v>
      </c>
      <c r="E316" s="5" t="s">
        <v>13</v>
      </c>
      <c r="H316" s="5">
        <v>260</v>
      </c>
      <c r="I316" s="5" t="str">
        <f t="shared" si="12"/>
        <v>OFFLINE</v>
      </c>
      <c r="J316" s="5" t="str">
        <f t="shared" si="13"/>
        <v>Sale</v>
      </c>
      <c r="K316" s="5">
        <f t="shared" si="14"/>
        <v>260</v>
      </c>
    </row>
    <row r="317" spans="1:11">
      <c r="A317" s="6">
        <v>46047</v>
      </c>
      <c r="B317" s="7">
        <v>0.89709490740740738</v>
      </c>
      <c r="C317" s="5" t="s">
        <v>14</v>
      </c>
      <c r="D317" s="5" t="s">
        <v>477</v>
      </c>
      <c r="E317" s="5" t="s">
        <v>16</v>
      </c>
      <c r="H317" s="5">
        <v>940</v>
      </c>
      <c r="I317" s="5" t="str">
        <f t="shared" si="12"/>
        <v>OFFLINE</v>
      </c>
      <c r="J317" s="5" t="str">
        <f t="shared" si="13"/>
        <v>Sale</v>
      </c>
      <c r="K317" s="5">
        <f t="shared" si="14"/>
        <v>940</v>
      </c>
    </row>
    <row r="318" spans="1:11">
      <c r="A318" s="6">
        <v>46047</v>
      </c>
      <c r="B318" s="7">
        <v>0.89675925925925926</v>
      </c>
      <c r="C318" s="5" t="s">
        <v>8</v>
      </c>
      <c r="D318" s="5" t="s">
        <v>478</v>
      </c>
      <c r="E318" s="5" t="s">
        <v>10</v>
      </c>
      <c r="H318" s="5">
        <v>380</v>
      </c>
      <c r="I318" s="5" t="str">
        <f t="shared" si="12"/>
        <v>OFFLINE</v>
      </c>
      <c r="J318" s="5" t="str">
        <f t="shared" si="13"/>
        <v>Sale</v>
      </c>
      <c r="K318" s="5">
        <f t="shared" si="14"/>
        <v>380</v>
      </c>
    </row>
    <row r="319" spans="1:11">
      <c r="A319" s="6">
        <v>46047</v>
      </c>
      <c r="B319" s="7">
        <v>0.89643518518518517</v>
      </c>
      <c r="C319" s="5" t="s">
        <v>11</v>
      </c>
      <c r="D319" s="5" t="s">
        <v>479</v>
      </c>
      <c r="E319" s="5" t="s">
        <v>13</v>
      </c>
      <c r="F319" s="5" t="s">
        <v>480</v>
      </c>
      <c r="G319" s="5" t="s">
        <v>481</v>
      </c>
      <c r="H319" s="5">
        <v>2890</v>
      </c>
      <c r="I319" s="5" t="str">
        <f t="shared" si="12"/>
        <v>ONLINE</v>
      </c>
      <c r="J319" s="5" t="str">
        <f t="shared" si="13"/>
        <v>Sale</v>
      </c>
      <c r="K319" s="5">
        <f t="shared" si="14"/>
        <v>2890</v>
      </c>
    </row>
    <row r="320" spans="1:11">
      <c r="A320" s="6">
        <v>46047</v>
      </c>
      <c r="B320" s="7">
        <v>0.89609953703703704</v>
      </c>
      <c r="C320" s="5" t="s">
        <v>14</v>
      </c>
      <c r="D320" s="5" t="s">
        <v>482</v>
      </c>
      <c r="E320" s="5" t="s">
        <v>16</v>
      </c>
      <c r="H320" s="5">
        <v>570</v>
      </c>
      <c r="I320" s="5" t="str">
        <f t="shared" si="12"/>
        <v>OFFLINE</v>
      </c>
      <c r="J320" s="5" t="str">
        <f t="shared" si="13"/>
        <v>Sale</v>
      </c>
      <c r="K320" s="5">
        <f t="shared" si="14"/>
        <v>570</v>
      </c>
    </row>
    <row r="321" spans="1:11">
      <c r="A321" s="6">
        <v>46047</v>
      </c>
      <c r="B321" s="7">
        <v>0.89577546296296295</v>
      </c>
      <c r="C321" s="5" t="s">
        <v>8</v>
      </c>
      <c r="D321" s="5" t="s">
        <v>483</v>
      </c>
      <c r="E321" s="5" t="s">
        <v>10</v>
      </c>
      <c r="H321" s="5">
        <v>120</v>
      </c>
      <c r="I321" s="5" t="str">
        <f t="shared" si="12"/>
        <v>OFFLINE</v>
      </c>
      <c r="J321" s="5" t="str">
        <f t="shared" si="13"/>
        <v>Sale</v>
      </c>
      <c r="K321" s="5">
        <f t="shared" si="14"/>
        <v>120</v>
      </c>
    </row>
    <row r="322" spans="1:11">
      <c r="A322" s="6">
        <v>46047</v>
      </c>
      <c r="B322" s="7">
        <v>0.89543981481481483</v>
      </c>
      <c r="C322" s="5" t="s">
        <v>11</v>
      </c>
      <c r="D322" s="5" t="s">
        <v>484</v>
      </c>
      <c r="E322" s="5" t="s">
        <v>13</v>
      </c>
      <c r="H322" s="5">
        <v>860</v>
      </c>
      <c r="I322" s="5" t="str">
        <f t="shared" ref="I322:I346" si="15">IF(F322="","OFFLINE","ONLINE")</f>
        <v>OFFLINE</v>
      </c>
      <c r="J322" s="5" t="str">
        <f t="shared" ref="J322:J346" si="16">IF(H322 &lt; 0, "Return", "Sale")</f>
        <v>Sale</v>
      </c>
      <c r="K322" s="5">
        <f t="shared" ref="K322:K346" si="17">ABS(H322)</f>
        <v>860</v>
      </c>
    </row>
    <row r="323" spans="1:11">
      <c r="A323" s="6">
        <v>46047</v>
      </c>
      <c r="B323" s="7">
        <v>0.89511574074074074</v>
      </c>
      <c r="C323" s="5" t="s">
        <v>14</v>
      </c>
      <c r="D323" s="5" t="s">
        <v>485</v>
      </c>
      <c r="E323" s="5" t="s">
        <v>16</v>
      </c>
      <c r="H323" s="5">
        <v>-240</v>
      </c>
      <c r="I323" s="5" t="str">
        <f t="shared" si="15"/>
        <v>OFFLINE</v>
      </c>
      <c r="J323" s="5" t="str">
        <f t="shared" si="16"/>
        <v>Return</v>
      </c>
      <c r="K323" s="5">
        <f t="shared" si="17"/>
        <v>240</v>
      </c>
    </row>
    <row r="324" spans="1:11">
      <c r="A324" s="6">
        <v>46047</v>
      </c>
      <c r="B324" s="7">
        <v>0.89478009259259261</v>
      </c>
      <c r="C324" s="5" t="s">
        <v>8</v>
      </c>
      <c r="D324" s="5" t="s">
        <v>486</v>
      </c>
      <c r="E324" s="5" t="s">
        <v>10</v>
      </c>
      <c r="F324" s="5" t="s">
        <v>487</v>
      </c>
      <c r="G324" s="5" t="s">
        <v>488</v>
      </c>
      <c r="H324" s="5">
        <v>3340</v>
      </c>
      <c r="I324" s="5" t="str">
        <f t="shared" si="15"/>
        <v>ONLINE</v>
      </c>
      <c r="J324" s="5" t="str">
        <f t="shared" si="16"/>
        <v>Sale</v>
      </c>
      <c r="K324" s="5">
        <f t="shared" si="17"/>
        <v>3340</v>
      </c>
    </row>
    <row r="325" spans="1:11">
      <c r="A325" s="6">
        <v>46047</v>
      </c>
      <c r="B325" s="7">
        <v>0.89445601851851853</v>
      </c>
      <c r="C325" s="5" t="s">
        <v>11</v>
      </c>
      <c r="D325" s="5" t="s">
        <v>489</v>
      </c>
      <c r="E325" s="5" t="s">
        <v>13</v>
      </c>
      <c r="H325" s="5">
        <v>290</v>
      </c>
      <c r="I325" s="5" t="str">
        <f t="shared" si="15"/>
        <v>OFFLINE</v>
      </c>
      <c r="J325" s="5" t="str">
        <f t="shared" si="16"/>
        <v>Sale</v>
      </c>
      <c r="K325" s="5">
        <f t="shared" si="17"/>
        <v>290</v>
      </c>
    </row>
    <row r="326" spans="1:11">
      <c r="A326" s="6">
        <v>46047</v>
      </c>
      <c r="B326" s="7">
        <v>0.8941203703703704</v>
      </c>
      <c r="C326" s="5" t="s">
        <v>14</v>
      </c>
      <c r="D326" s="5" t="s">
        <v>490</v>
      </c>
      <c r="E326" s="5" t="s">
        <v>16</v>
      </c>
      <c r="H326" s="5">
        <v>640</v>
      </c>
      <c r="I326" s="5" t="str">
        <f t="shared" si="15"/>
        <v>OFFLINE</v>
      </c>
      <c r="J326" s="5" t="str">
        <f t="shared" si="16"/>
        <v>Sale</v>
      </c>
      <c r="K326" s="5">
        <f t="shared" si="17"/>
        <v>640</v>
      </c>
    </row>
    <row r="327" spans="1:11">
      <c r="A327" s="6">
        <v>46047</v>
      </c>
      <c r="B327" s="7">
        <v>0.89379629629629631</v>
      </c>
      <c r="C327" s="5" t="s">
        <v>8</v>
      </c>
      <c r="D327" s="5" t="s">
        <v>491</v>
      </c>
      <c r="E327" s="5" t="s">
        <v>10</v>
      </c>
      <c r="H327" s="5">
        <v>470</v>
      </c>
      <c r="I327" s="5" t="str">
        <f t="shared" si="15"/>
        <v>OFFLINE</v>
      </c>
      <c r="J327" s="5" t="str">
        <f t="shared" si="16"/>
        <v>Sale</v>
      </c>
      <c r="K327" s="5">
        <f t="shared" si="17"/>
        <v>470</v>
      </c>
    </row>
    <row r="328" spans="1:11">
      <c r="A328" s="6">
        <v>46047</v>
      </c>
      <c r="B328" s="7">
        <v>0.89346064814814818</v>
      </c>
      <c r="C328" s="5" t="s">
        <v>11</v>
      </c>
      <c r="D328" s="5" t="s">
        <v>492</v>
      </c>
      <c r="E328" s="5" t="s">
        <v>13</v>
      </c>
      <c r="F328" s="5" t="s">
        <v>493</v>
      </c>
      <c r="G328" s="5" t="s">
        <v>494</v>
      </c>
      <c r="H328" s="5">
        <v>2210</v>
      </c>
      <c r="I328" s="5" t="str">
        <f t="shared" si="15"/>
        <v>ONLINE</v>
      </c>
      <c r="J328" s="5" t="str">
        <f t="shared" si="16"/>
        <v>Sale</v>
      </c>
      <c r="K328" s="5">
        <f t="shared" si="17"/>
        <v>2210</v>
      </c>
    </row>
    <row r="329" spans="1:11">
      <c r="A329" s="6">
        <v>46047</v>
      </c>
      <c r="B329" s="7">
        <v>0.8931365740740741</v>
      </c>
      <c r="C329" s="5" t="s">
        <v>14</v>
      </c>
      <c r="D329" s="5" t="s">
        <v>495</v>
      </c>
      <c r="E329" s="5" t="s">
        <v>16</v>
      </c>
      <c r="H329" s="5">
        <v>510</v>
      </c>
      <c r="I329" s="5" t="str">
        <f t="shared" si="15"/>
        <v>OFFLINE</v>
      </c>
      <c r="J329" s="5" t="str">
        <f t="shared" si="16"/>
        <v>Sale</v>
      </c>
      <c r="K329" s="5">
        <f t="shared" si="17"/>
        <v>510</v>
      </c>
    </row>
    <row r="330" spans="1:11">
      <c r="A330" s="6">
        <v>46047</v>
      </c>
      <c r="B330" s="7">
        <v>0.89280092592592597</v>
      </c>
      <c r="C330" s="5" t="s">
        <v>8</v>
      </c>
      <c r="D330" s="5" t="s">
        <v>496</v>
      </c>
      <c r="E330" s="5" t="s">
        <v>10</v>
      </c>
      <c r="H330" s="5">
        <v>780</v>
      </c>
      <c r="I330" s="5" t="str">
        <f t="shared" si="15"/>
        <v>OFFLINE</v>
      </c>
      <c r="J330" s="5" t="str">
        <f t="shared" si="16"/>
        <v>Sale</v>
      </c>
      <c r="K330" s="5">
        <f t="shared" si="17"/>
        <v>780</v>
      </c>
    </row>
    <row r="331" spans="1:11">
      <c r="A331" s="6">
        <v>46047</v>
      </c>
      <c r="B331" s="7">
        <v>0.89247685185185188</v>
      </c>
      <c r="C331" s="5" t="s">
        <v>11</v>
      </c>
      <c r="D331" s="5" t="s">
        <v>497</v>
      </c>
      <c r="E331" s="5" t="s">
        <v>13</v>
      </c>
      <c r="H331" s="5">
        <v>260</v>
      </c>
      <c r="I331" s="5" t="str">
        <f t="shared" si="15"/>
        <v>OFFLINE</v>
      </c>
      <c r="J331" s="5" t="str">
        <f t="shared" si="16"/>
        <v>Sale</v>
      </c>
      <c r="K331" s="5">
        <f t="shared" si="17"/>
        <v>260</v>
      </c>
    </row>
    <row r="332" spans="1:11">
      <c r="A332" s="6">
        <v>46047</v>
      </c>
      <c r="B332" s="7">
        <v>0.89214120370370376</v>
      </c>
      <c r="C332" s="5" t="s">
        <v>14</v>
      </c>
      <c r="D332" s="5" t="s">
        <v>498</v>
      </c>
      <c r="E332" s="5" t="s">
        <v>16</v>
      </c>
      <c r="F332" s="5" t="s">
        <v>499</v>
      </c>
      <c r="G332" s="5" t="s">
        <v>500</v>
      </c>
      <c r="H332" s="5">
        <v>3050</v>
      </c>
      <c r="I332" s="5" t="str">
        <f t="shared" si="15"/>
        <v>ONLINE</v>
      </c>
      <c r="J332" s="5" t="str">
        <f t="shared" si="16"/>
        <v>Sale</v>
      </c>
      <c r="K332" s="5">
        <f t="shared" si="17"/>
        <v>3050</v>
      </c>
    </row>
    <row r="333" spans="1:11">
      <c r="A333" s="6">
        <v>46047</v>
      </c>
      <c r="B333" s="7">
        <v>0.89181712962962967</v>
      </c>
      <c r="C333" s="5" t="s">
        <v>8</v>
      </c>
      <c r="D333" s="5" t="s">
        <v>501</v>
      </c>
      <c r="E333" s="5" t="s">
        <v>10</v>
      </c>
      <c r="H333" s="5">
        <v>430</v>
      </c>
      <c r="I333" s="5" t="str">
        <f t="shared" si="15"/>
        <v>OFFLINE</v>
      </c>
      <c r="J333" s="5" t="str">
        <f t="shared" si="16"/>
        <v>Sale</v>
      </c>
      <c r="K333" s="5">
        <f t="shared" si="17"/>
        <v>430</v>
      </c>
    </row>
    <row r="334" spans="1:11">
      <c r="A334" s="6">
        <v>46047</v>
      </c>
      <c r="B334" s="7">
        <v>0.89148148148148143</v>
      </c>
      <c r="C334" s="5" t="s">
        <v>11</v>
      </c>
      <c r="D334" s="5" t="s">
        <v>502</v>
      </c>
      <c r="E334" s="5" t="s">
        <v>13</v>
      </c>
      <c r="H334" s="5">
        <v>690</v>
      </c>
      <c r="I334" s="5" t="str">
        <f t="shared" si="15"/>
        <v>OFFLINE</v>
      </c>
      <c r="J334" s="5" t="str">
        <f t="shared" si="16"/>
        <v>Sale</v>
      </c>
      <c r="K334" s="5">
        <f t="shared" si="17"/>
        <v>690</v>
      </c>
    </row>
    <row r="335" spans="1:11">
      <c r="A335" s="6">
        <v>46047</v>
      </c>
      <c r="B335" s="7">
        <v>0.89115740740740745</v>
      </c>
      <c r="C335" s="5" t="s">
        <v>14</v>
      </c>
      <c r="D335" s="5" t="s">
        <v>503</v>
      </c>
      <c r="E335" s="5" t="s">
        <v>16</v>
      </c>
      <c r="H335" s="5">
        <v>920</v>
      </c>
      <c r="I335" s="5" t="str">
        <f t="shared" si="15"/>
        <v>OFFLINE</v>
      </c>
      <c r="J335" s="5" t="str">
        <f t="shared" si="16"/>
        <v>Sale</v>
      </c>
      <c r="K335" s="5">
        <f t="shared" si="17"/>
        <v>920</v>
      </c>
    </row>
    <row r="336" spans="1:11">
      <c r="A336" s="6">
        <v>46047</v>
      </c>
      <c r="B336" s="7">
        <v>0.89082175925925922</v>
      </c>
      <c r="C336" s="5" t="s">
        <v>8</v>
      </c>
      <c r="D336" s="5" t="s">
        <v>504</v>
      </c>
      <c r="E336" s="5" t="s">
        <v>10</v>
      </c>
      <c r="F336" s="5" t="s">
        <v>505</v>
      </c>
      <c r="G336" s="5" t="s">
        <v>506</v>
      </c>
      <c r="H336" s="5">
        <v>1670</v>
      </c>
      <c r="I336" s="5" t="str">
        <f t="shared" si="15"/>
        <v>ONLINE</v>
      </c>
      <c r="J336" s="5" t="str">
        <f t="shared" si="16"/>
        <v>Sale</v>
      </c>
      <c r="K336" s="5">
        <f t="shared" si="17"/>
        <v>1670</v>
      </c>
    </row>
    <row r="337" spans="1:11">
      <c r="A337" s="6">
        <v>46047</v>
      </c>
      <c r="B337" s="7">
        <v>0.89049768518518524</v>
      </c>
      <c r="C337" s="5" t="s">
        <v>11</v>
      </c>
      <c r="D337" s="5" t="s">
        <v>507</v>
      </c>
      <c r="E337" s="5" t="s">
        <v>13</v>
      </c>
      <c r="H337" s="5">
        <v>350</v>
      </c>
      <c r="I337" s="5" t="str">
        <f t="shared" si="15"/>
        <v>OFFLINE</v>
      </c>
      <c r="J337" s="5" t="str">
        <f t="shared" si="16"/>
        <v>Sale</v>
      </c>
      <c r="K337" s="5">
        <f t="shared" si="17"/>
        <v>350</v>
      </c>
    </row>
    <row r="338" spans="1:11">
      <c r="A338" s="6">
        <v>46047</v>
      </c>
      <c r="B338" s="7">
        <v>0.890162037037037</v>
      </c>
      <c r="C338" s="5" t="s">
        <v>14</v>
      </c>
      <c r="D338" s="5" t="s">
        <v>508</v>
      </c>
      <c r="E338" s="5" t="s">
        <v>16</v>
      </c>
      <c r="H338" s="5">
        <v>540</v>
      </c>
      <c r="I338" s="5" t="str">
        <f t="shared" si="15"/>
        <v>OFFLINE</v>
      </c>
      <c r="J338" s="5" t="str">
        <f t="shared" si="16"/>
        <v>Sale</v>
      </c>
      <c r="K338" s="5">
        <f t="shared" si="17"/>
        <v>540</v>
      </c>
    </row>
    <row r="339" spans="1:11">
      <c r="A339" s="6">
        <v>46047</v>
      </c>
      <c r="B339" s="7">
        <v>0.88983796296296291</v>
      </c>
      <c r="C339" s="5" t="s">
        <v>8</v>
      </c>
      <c r="D339" s="5" t="s">
        <v>509</v>
      </c>
      <c r="E339" s="5" t="s">
        <v>10</v>
      </c>
      <c r="H339" s="5">
        <v>-180</v>
      </c>
      <c r="I339" s="5" t="str">
        <f t="shared" si="15"/>
        <v>OFFLINE</v>
      </c>
      <c r="J339" s="5" t="str">
        <f t="shared" si="16"/>
        <v>Return</v>
      </c>
      <c r="K339" s="5">
        <f t="shared" si="17"/>
        <v>180</v>
      </c>
    </row>
    <row r="340" spans="1:11">
      <c r="A340" s="6">
        <v>46047</v>
      </c>
      <c r="B340" s="7">
        <v>0.88950231481481479</v>
      </c>
      <c r="C340" s="5" t="s">
        <v>11</v>
      </c>
      <c r="D340" s="5" t="s">
        <v>510</v>
      </c>
      <c r="E340" s="5" t="s">
        <v>13</v>
      </c>
      <c r="F340" s="5" t="s">
        <v>511</v>
      </c>
      <c r="G340" s="5" t="s">
        <v>512</v>
      </c>
      <c r="H340" s="5">
        <v>2480</v>
      </c>
      <c r="I340" s="5" t="str">
        <f t="shared" si="15"/>
        <v>ONLINE</v>
      </c>
      <c r="J340" s="5" t="str">
        <f t="shared" si="16"/>
        <v>Sale</v>
      </c>
      <c r="K340" s="5">
        <f t="shared" si="17"/>
        <v>2480</v>
      </c>
    </row>
    <row r="341" spans="1:11">
      <c r="A341" s="6">
        <v>46047</v>
      </c>
      <c r="B341" s="7">
        <v>0.8891782407407407</v>
      </c>
      <c r="C341" s="5" t="s">
        <v>14</v>
      </c>
      <c r="D341" s="5" t="s">
        <v>513</v>
      </c>
      <c r="E341" s="5" t="s">
        <v>16</v>
      </c>
      <c r="H341" s="5">
        <v>610</v>
      </c>
      <c r="I341" s="5" t="str">
        <f t="shared" si="15"/>
        <v>OFFLINE</v>
      </c>
      <c r="J341" s="5" t="str">
        <f t="shared" si="16"/>
        <v>Sale</v>
      </c>
      <c r="K341" s="5">
        <f t="shared" si="17"/>
        <v>610</v>
      </c>
    </row>
    <row r="342" spans="1:11">
      <c r="A342" s="6">
        <v>46047</v>
      </c>
      <c r="B342" s="7">
        <v>0.88884259259259257</v>
      </c>
      <c r="C342" s="5" t="s">
        <v>8</v>
      </c>
      <c r="D342" s="5" t="s">
        <v>514</v>
      </c>
      <c r="E342" s="5" t="s">
        <v>10</v>
      </c>
      <c r="H342" s="5">
        <v>290</v>
      </c>
      <c r="I342" s="5" t="str">
        <f t="shared" si="15"/>
        <v>OFFLINE</v>
      </c>
      <c r="J342" s="5" t="str">
        <f t="shared" si="16"/>
        <v>Sale</v>
      </c>
      <c r="K342" s="5">
        <f t="shared" si="17"/>
        <v>290</v>
      </c>
    </row>
    <row r="343" spans="1:11">
      <c r="A343" s="6">
        <v>46047</v>
      </c>
      <c r="B343" s="7">
        <v>0.88851851851851849</v>
      </c>
      <c r="C343" s="5" t="s">
        <v>11</v>
      </c>
      <c r="D343" s="5" t="s">
        <v>515</v>
      </c>
      <c r="E343" s="5" t="s">
        <v>13</v>
      </c>
      <c r="H343" s="5">
        <v>870</v>
      </c>
      <c r="I343" s="5" t="str">
        <f t="shared" si="15"/>
        <v>OFFLINE</v>
      </c>
      <c r="J343" s="5" t="str">
        <f t="shared" si="16"/>
        <v>Sale</v>
      </c>
      <c r="K343" s="5">
        <f t="shared" si="17"/>
        <v>870</v>
      </c>
    </row>
    <row r="344" spans="1:11">
      <c r="A344" s="6">
        <v>46047</v>
      </c>
      <c r="B344" s="7">
        <v>0.88818287037037036</v>
      </c>
      <c r="C344" s="5" t="s">
        <v>14</v>
      </c>
      <c r="D344" s="5" t="s">
        <v>516</v>
      </c>
      <c r="E344" s="5" t="s">
        <v>16</v>
      </c>
      <c r="F344" s="5" t="s">
        <v>517</v>
      </c>
      <c r="G344" s="5" t="s">
        <v>518</v>
      </c>
      <c r="H344" s="5">
        <v>1920</v>
      </c>
      <c r="I344" s="5" t="str">
        <f t="shared" si="15"/>
        <v>ONLINE</v>
      </c>
      <c r="J344" s="5" t="str">
        <f t="shared" si="16"/>
        <v>Sale</v>
      </c>
      <c r="K344" s="5">
        <f t="shared" si="17"/>
        <v>1920</v>
      </c>
    </row>
    <row r="345" spans="1:11">
      <c r="A345" s="6">
        <v>46047</v>
      </c>
      <c r="B345" s="7">
        <v>0.88785879629629627</v>
      </c>
      <c r="C345" s="5" t="s">
        <v>8</v>
      </c>
      <c r="D345" s="5" t="s">
        <v>519</v>
      </c>
      <c r="E345" s="5" t="s">
        <v>10</v>
      </c>
      <c r="H345" s="5">
        <v>410</v>
      </c>
      <c r="I345" s="5" t="str">
        <f t="shared" si="15"/>
        <v>OFFLINE</v>
      </c>
      <c r="J345" s="5" t="str">
        <f t="shared" si="16"/>
        <v>Sale</v>
      </c>
      <c r="K345" s="5">
        <f t="shared" si="17"/>
        <v>410</v>
      </c>
    </row>
    <row r="346" spans="1:11">
      <c r="A346" s="6">
        <v>46047</v>
      </c>
      <c r="B346" s="7">
        <v>0.88752314814814814</v>
      </c>
      <c r="C346" s="5" t="s">
        <v>11</v>
      </c>
      <c r="D346" s="5" t="s">
        <v>520</v>
      </c>
      <c r="E346" s="5" t="s">
        <v>13</v>
      </c>
      <c r="H346" s="5">
        <v>560</v>
      </c>
      <c r="I346" s="5" t="str">
        <f t="shared" si="15"/>
        <v>OFFLINE</v>
      </c>
      <c r="J346" s="5" t="str">
        <f t="shared" si="16"/>
        <v>Sale</v>
      </c>
      <c r="K346" s="5">
        <f t="shared" si="17"/>
        <v>560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7E44B-C992-4FB0-BB5D-0E2C48E1B98D}">
  <dimension ref="A1:O119"/>
  <sheetViews>
    <sheetView tabSelected="1" workbookViewId="0">
      <selection activeCell="A14" sqref="A14:B14"/>
    </sheetView>
  </sheetViews>
  <sheetFormatPr defaultRowHeight="15"/>
  <cols>
    <col min="1" max="1" width="29.140625" style="8" bestFit="1" customWidth="1"/>
    <col min="2" max="2" width="12.28515625" style="8" bestFit="1" customWidth="1"/>
    <col min="3" max="17" width="9.140625" style="8"/>
    <col min="18" max="18" width="16.5703125" style="8" bestFit="1" customWidth="1"/>
    <col min="19" max="16384" width="9.140625" style="8"/>
  </cols>
  <sheetData>
    <row r="1" spans="1:2">
      <c r="A1" s="17" t="s">
        <v>524</v>
      </c>
      <c r="B1" s="17"/>
    </row>
    <row r="2" spans="1:2">
      <c r="A2" s="12" t="s">
        <v>525</v>
      </c>
      <c r="B2" s="13">
        <f>SUMIFS(Cleaned_EJ!H:H, Cleaned_EJ!J:J, "Sale")</f>
        <v>323515</v>
      </c>
    </row>
    <row r="3" spans="1:2">
      <c r="A3" s="9" t="s">
        <v>526</v>
      </c>
      <c r="B3" s="11">
        <f>SUMIFS(Cleaned_EJ!H:H, Cleaned_EJ!J:J, "Return")</f>
        <v>-5720</v>
      </c>
    </row>
    <row r="4" spans="1:2">
      <c r="A4" s="9" t="s">
        <v>527</v>
      </c>
      <c r="B4" s="11">
        <f>B2+B3</f>
        <v>317795</v>
      </c>
    </row>
    <row r="5" spans="1:2">
      <c r="A5" s="9" t="s">
        <v>528</v>
      </c>
      <c r="B5" s="11">
        <f>SUMIFS(Cleaned_EJ!H:H, Cleaned_EJ!J:J, "Sale", Cleaned_EJ!I:I, "Offline")</f>
        <v>129595</v>
      </c>
    </row>
    <row r="6" spans="1:2">
      <c r="A6" s="9" t="s">
        <v>529</v>
      </c>
      <c r="B6" s="11">
        <f>SUMIFS(Cleaned_EJ!H:H, Cleaned_EJ!J:J, "Sale", Cleaned_EJ!I:I, "Online")</f>
        <v>193920</v>
      </c>
    </row>
    <row r="7" spans="1:2">
      <c r="A7" s="9" t="s">
        <v>530</v>
      </c>
      <c r="B7" s="11">
        <f>COUNTA(Cleaned_EJ!C:C)</f>
        <v>346</v>
      </c>
    </row>
    <row r="8" spans="1:2">
      <c r="A8" s="9" t="s">
        <v>531</v>
      </c>
      <c r="B8" s="11">
        <f>COUNTIFS(Cleaned_EJ!I:I, "Online")</f>
        <v>81</v>
      </c>
    </row>
    <row r="9" spans="1:2">
      <c r="A9" s="9" t="s">
        <v>532</v>
      </c>
      <c r="B9" s="11">
        <f>COUNTIFS(Cleaned_EJ!J:J, "Return")</f>
        <v>26</v>
      </c>
    </row>
    <row r="10" spans="1:2">
      <c r="A10" s="9" t="s">
        <v>533</v>
      </c>
      <c r="B10" s="14">
        <f>B9/B7</f>
        <v>7.5144508670520235E-2</v>
      </c>
    </row>
    <row r="11" spans="1:2">
      <c r="A11" s="9" t="s">
        <v>534</v>
      </c>
      <c r="B11" s="10" t="str">
        <f>IF(B9&gt;10, "Review", "Ok")</f>
        <v>Review</v>
      </c>
    </row>
    <row r="14" spans="1:2">
      <c r="A14" s="18" t="s">
        <v>535</v>
      </c>
      <c r="B14" s="18"/>
    </row>
    <row r="15" spans="1:2">
      <c r="A15" s="15"/>
      <c r="B15" s="16"/>
    </row>
    <row r="16" spans="1:2">
      <c r="A16" s="15"/>
      <c r="B16" s="16"/>
    </row>
    <row r="17" spans="1:2">
      <c r="A17" s="15"/>
      <c r="B17" s="16"/>
    </row>
    <row r="18" spans="1:2">
      <c r="A18" s="15"/>
      <c r="B18" s="16"/>
    </row>
    <row r="117" spans="15:15">
      <c r="O117" s="8" t="s">
        <v>536</v>
      </c>
    </row>
    <row r="118" spans="15:15">
      <c r="O118" s="8" t="s">
        <v>537</v>
      </c>
    </row>
    <row r="119" spans="15:15">
      <c r="O119" s="8" t="s">
        <v>538</v>
      </c>
    </row>
  </sheetData>
  <mergeCells count="2">
    <mergeCell ref="A1:B1"/>
    <mergeCell ref="A14:B14"/>
  </mergeCells>
  <conditionalFormatting sqref="B11">
    <cfRule type="containsText" dxfId="3" priority="4" operator="containsText" text="Review">
      <formula>NOT(ISERROR(SEARCH("Review",B11)))</formula>
    </cfRule>
  </conditionalFormatting>
  <conditionalFormatting sqref="B11">
    <cfRule type="containsText" dxfId="2" priority="3" operator="containsText" text="Ok">
      <formula>NOT(ISERROR(SEARCH("Ok",B11)))</formula>
    </cfRule>
  </conditionalFormatting>
  <conditionalFormatting sqref="B10:B11">
    <cfRule type="cellIs" dxfId="1" priority="2" operator="lessThan">
      <formula>5%</formula>
    </cfRule>
  </conditionalFormatting>
  <conditionalFormatting sqref="B10:B11">
    <cfRule type="cellIs" dxfId="0" priority="1" operator="greaterThan">
      <formula>5%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2026-01-26T06:34:58Z</dcterms:created>
  <dcterms:modified xsi:type="dcterms:W3CDTF">2026-01-26T08:45:38Z</dcterms:modified>
  <cp:category/>
  <cp:contentStatus/>
</cp:coreProperties>
</file>